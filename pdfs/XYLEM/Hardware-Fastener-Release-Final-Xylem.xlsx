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rnquist-my.sharepoint.com/personal/javorio_bornquist_com/Documents/Desktop/"/>
    </mc:Choice>
  </mc:AlternateContent>
  <xr:revisionPtr revIDLastSave="0" documentId="8_{9A25D010-65E4-40C2-A093-AEDC093F5F61}" xr6:coauthVersionLast="47" xr6:coauthVersionMax="47" xr10:uidLastSave="{00000000-0000-0000-0000-000000000000}"/>
  <bookViews>
    <workbookView xWindow="-108" yWindow="-108" windowWidth="23256" windowHeight="13896" xr2:uid="{E7A79B04-710C-4CA6-A966-A741E1FAC71C}"/>
  </bookViews>
  <sheets>
    <sheet name="Sheet1" sheetId="1" r:id="rId1"/>
  </sheets>
  <externalReferences>
    <externalReference r:id="rId2"/>
  </externalReferences>
  <definedNames>
    <definedName name="_xlnm._FilterDatabase" localSheetId="0" hidden="1">Sheet1!$A$3:$E$389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1" i="1" l="1"/>
  <c r="C387" i="1"/>
  <c r="B387" i="1"/>
  <c r="C385" i="1"/>
  <c r="B385" i="1"/>
  <c r="C384" i="1"/>
  <c r="B384" i="1"/>
  <c r="C383" i="1"/>
  <c r="B383" i="1"/>
  <c r="C381" i="1"/>
  <c r="B381" i="1"/>
  <c r="C379" i="1"/>
  <c r="B379" i="1"/>
  <c r="C377" i="1"/>
  <c r="B377" i="1"/>
  <c r="C376" i="1"/>
  <c r="B376" i="1"/>
  <c r="C375" i="1"/>
  <c r="B375" i="1"/>
  <c r="C374" i="1"/>
  <c r="B374" i="1"/>
  <c r="C373" i="1"/>
  <c r="B373" i="1"/>
  <c r="C371" i="1"/>
  <c r="B371" i="1"/>
  <c r="C368" i="1"/>
  <c r="B368" i="1"/>
  <c r="C367" i="1"/>
  <c r="B367" i="1"/>
  <c r="C366" i="1"/>
  <c r="B366" i="1"/>
  <c r="C365" i="1"/>
  <c r="B365" i="1"/>
  <c r="C364" i="1"/>
  <c r="B364" i="1"/>
  <c r="C361" i="1"/>
  <c r="B361" i="1"/>
  <c r="C360" i="1"/>
  <c r="B360" i="1"/>
  <c r="C359" i="1"/>
  <c r="B359" i="1"/>
  <c r="C345" i="1"/>
  <c r="B345" i="1"/>
  <c r="C343" i="1"/>
  <c r="B343" i="1"/>
  <c r="C342" i="1"/>
  <c r="B342" i="1"/>
  <c r="C340" i="1"/>
  <c r="B340" i="1"/>
  <c r="C337" i="1"/>
  <c r="B337" i="1"/>
  <c r="C334" i="1"/>
  <c r="B334" i="1"/>
  <c r="C333" i="1"/>
  <c r="B333" i="1"/>
  <c r="C332" i="1"/>
  <c r="B332" i="1"/>
  <c r="C331" i="1"/>
  <c r="B331" i="1"/>
  <c r="C324" i="1"/>
  <c r="B324" i="1"/>
  <c r="C323" i="1"/>
  <c r="B323" i="1"/>
  <c r="C321" i="1"/>
  <c r="C320" i="1"/>
  <c r="B320" i="1"/>
  <c r="C319" i="1"/>
  <c r="B319" i="1"/>
  <c r="C313" i="1"/>
  <c r="B313" i="1"/>
  <c r="C310" i="1"/>
  <c r="B310" i="1"/>
  <c r="C308" i="1"/>
  <c r="B308" i="1"/>
  <c r="C307" i="1"/>
  <c r="B307" i="1"/>
  <c r="C306" i="1"/>
  <c r="B306" i="1"/>
  <c r="C305" i="1"/>
  <c r="B305" i="1"/>
  <c r="C304" i="1"/>
  <c r="B304" i="1"/>
  <c r="C303" i="1"/>
  <c r="B303" i="1"/>
  <c r="C302" i="1"/>
  <c r="B302" i="1"/>
  <c r="C301" i="1"/>
  <c r="B301" i="1"/>
  <c r="C300" i="1"/>
  <c r="B300" i="1"/>
  <c r="C298" i="1"/>
  <c r="B298" i="1"/>
  <c r="C297" i="1"/>
  <c r="B297" i="1"/>
  <c r="C296" i="1"/>
  <c r="B296" i="1"/>
  <c r="C294" i="1"/>
  <c r="B294" i="1"/>
  <c r="C293" i="1"/>
  <c r="B293" i="1"/>
  <c r="C290" i="1"/>
  <c r="B290" i="1"/>
  <c r="C289" i="1"/>
  <c r="B289" i="1"/>
  <c r="C287" i="1"/>
  <c r="B287" i="1"/>
  <c r="C286" i="1"/>
  <c r="B286" i="1"/>
  <c r="C285" i="1"/>
  <c r="B285" i="1"/>
  <c r="C283" i="1"/>
  <c r="B283" i="1"/>
  <c r="C282" i="1"/>
  <c r="B282" i="1"/>
  <c r="C281" i="1"/>
  <c r="B281" i="1"/>
  <c r="C280" i="1"/>
  <c r="B280" i="1"/>
  <c r="C279" i="1"/>
  <c r="B279" i="1"/>
  <c r="C276" i="1"/>
  <c r="B276" i="1"/>
  <c r="C275" i="1"/>
  <c r="B275" i="1"/>
  <c r="C274" i="1"/>
  <c r="B274" i="1"/>
  <c r="C271" i="1"/>
  <c r="B271" i="1"/>
  <c r="C270" i="1"/>
  <c r="B270" i="1"/>
  <c r="C269" i="1"/>
  <c r="B269" i="1"/>
  <c r="C267" i="1"/>
  <c r="B267" i="1"/>
  <c r="C266" i="1"/>
  <c r="B266" i="1"/>
  <c r="C264" i="1"/>
  <c r="B264" i="1"/>
  <c r="C263" i="1"/>
  <c r="B263" i="1"/>
  <c r="C262" i="1"/>
  <c r="B262" i="1"/>
  <c r="C260" i="1"/>
  <c r="B260" i="1"/>
  <c r="C259" i="1"/>
  <c r="B259" i="1"/>
  <c r="C245" i="1"/>
  <c r="B245" i="1"/>
  <c r="C244" i="1"/>
  <c r="B244" i="1"/>
  <c r="C243" i="1"/>
  <c r="B243" i="1"/>
  <c r="C242" i="1"/>
  <c r="B242" i="1"/>
  <c r="C241" i="1"/>
  <c r="B241" i="1"/>
  <c r="C240" i="1"/>
  <c r="B240" i="1"/>
  <c r="C237" i="1"/>
  <c r="B237" i="1"/>
  <c r="C236" i="1"/>
  <c r="B236" i="1"/>
  <c r="C234" i="1"/>
  <c r="B234" i="1"/>
  <c r="C233" i="1"/>
  <c r="B233" i="1"/>
  <c r="C232" i="1"/>
  <c r="B232" i="1"/>
  <c r="C231" i="1"/>
  <c r="B231" i="1"/>
  <c r="C230" i="1"/>
  <c r="B230" i="1"/>
  <c r="C229" i="1"/>
  <c r="B229" i="1"/>
  <c r="C228" i="1"/>
  <c r="B228" i="1"/>
  <c r="C226" i="1"/>
  <c r="B226" i="1"/>
  <c r="C225" i="1"/>
  <c r="B225" i="1"/>
  <c r="C224" i="1"/>
  <c r="B224" i="1"/>
  <c r="C223" i="1"/>
  <c r="B223" i="1"/>
  <c r="C222" i="1"/>
  <c r="B222" i="1"/>
  <c r="C221" i="1"/>
  <c r="B221" i="1"/>
  <c r="C220" i="1"/>
  <c r="B220" i="1"/>
  <c r="C219" i="1"/>
  <c r="B219" i="1"/>
  <c r="C218" i="1"/>
  <c r="B218" i="1"/>
  <c r="C217" i="1"/>
  <c r="B217" i="1"/>
  <c r="C216" i="1"/>
  <c r="B216" i="1"/>
  <c r="C214" i="1"/>
  <c r="B214" i="1"/>
  <c r="C213" i="1"/>
  <c r="B213" i="1"/>
  <c r="C212" i="1"/>
  <c r="B212" i="1"/>
  <c r="C210" i="1"/>
  <c r="B210" i="1"/>
  <c r="C209" i="1"/>
  <c r="B209" i="1"/>
  <c r="C208" i="1"/>
  <c r="B208" i="1"/>
  <c r="C206" i="1"/>
  <c r="B206" i="1"/>
  <c r="C205" i="1"/>
  <c r="B205" i="1"/>
  <c r="C200" i="1"/>
  <c r="B200" i="1"/>
  <c r="C199" i="1"/>
  <c r="B199" i="1"/>
  <c r="C198" i="1"/>
  <c r="B198" i="1"/>
  <c r="C196" i="1"/>
  <c r="B196" i="1"/>
  <c r="C195" i="1"/>
  <c r="B195" i="1"/>
  <c r="C194" i="1"/>
  <c r="B194" i="1"/>
  <c r="C193" i="1"/>
  <c r="B193" i="1"/>
  <c r="C191" i="1"/>
  <c r="B191" i="1"/>
  <c r="C190" i="1"/>
  <c r="B190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0" i="1"/>
  <c r="B180" i="1"/>
  <c r="C179" i="1"/>
  <c r="B179" i="1"/>
  <c r="C178" i="1"/>
  <c r="B178" i="1"/>
  <c r="C174" i="1"/>
  <c r="B174" i="1"/>
  <c r="C173" i="1"/>
  <c r="B173" i="1"/>
  <c r="C169" i="1"/>
  <c r="B169" i="1"/>
  <c r="C168" i="1"/>
  <c r="B168" i="1"/>
  <c r="C167" i="1"/>
  <c r="B167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3" i="1"/>
  <c r="B143" i="1"/>
  <c r="C129" i="1"/>
  <c r="B129" i="1"/>
  <c r="C124" i="1"/>
  <c r="B124" i="1"/>
  <c r="C119" i="1"/>
  <c r="B119" i="1"/>
  <c r="C108" i="1"/>
  <c r="B108" i="1"/>
  <c r="C107" i="1"/>
  <c r="B107" i="1"/>
  <c r="C105" i="1"/>
  <c r="B105" i="1"/>
  <c r="C103" i="1"/>
  <c r="B103" i="1"/>
  <c r="C98" i="1"/>
  <c r="B98" i="1"/>
  <c r="C95" i="1"/>
  <c r="B95" i="1"/>
  <c r="C92" i="1"/>
  <c r="B92" i="1"/>
  <c r="C91" i="1"/>
  <c r="B91" i="1"/>
  <c r="C86" i="1"/>
  <c r="B86" i="1"/>
  <c r="C84" i="1"/>
  <c r="B84" i="1"/>
  <c r="C83" i="1"/>
  <c r="B83" i="1"/>
  <c r="C81" i="1"/>
  <c r="B81" i="1"/>
  <c r="C79" i="1"/>
  <c r="B79" i="1"/>
  <c r="C76" i="1"/>
  <c r="B76" i="1"/>
  <c r="C74" i="1"/>
  <c r="B74" i="1"/>
  <c r="C73" i="1"/>
  <c r="B73" i="1"/>
  <c r="C71" i="1"/>
  <c r="B71" i="1"/>
  <c r="C70" i="1"/>
  <c r="B70" i="1"/>
  <c r="C69" i="1"/>
  <c r="B69" i="1"/>
  <c r="C63" i="1"/>
  <c r="B63" i="1"/>
  <c r="C62" i="1"/>
  <c r="B62" i="1"/>
  <c r="C61" i="1"/>
  <c r="B61" i="1"/>
  <c r="C60" i="1"/>
  <c r="B60" i="1"/>
  <c r="C52" i="1"/>
  <c r="B52" i="1"/>
  <c r="C50" i="1"/>
  <c r="B50" i="1"/>
  <c r="C46" i="1"/>
  <c r="B46" i="1"/>
  <c r="C45" i="1"/>
  <c r="B45" i="1"/>
  <c r="C44" i="1"/>
  <c r="B44" i="1"/>
  <c r="C43" i="1"/>
  <c r="B43" i="1"/>
  <c r="C41" i="1"/>
  <c r="B41" i="1"/>
  <c r="C35" i="1"/>
  <c r="B35" i="1"/>
  <c r="C29" i="1"/>
  <c r="B29" i="1"/>
  <c r="C28" i="1"/>
  <c r="B28" i="1"/>
  <c r="C27" i="1"/>
  <c r="B27" i="1"/>
  <c r="C25" i="1"/>
  <c r="B25" i="1"/>
  <c r="C24" i="1"/>
  <c r="B24" i="1"/>
  <c r="C23" i="1"/>
  <c r="B23" i="1"/>
  <c r="C15" i="1"/>
  <c r="B15" i="1"/>
  <c r="C13" i="1"/>
  <c r="B13" i="1"/>
  <c r="C12" i="1"/>
  <c r="B12" i="1"/>
  <c r="C11" i="1"/>
  <c r="B11" i="1"/>
  <c r="B3" i="1" l="1"/>
  <c r="C3" i="1"/>
</calcChain>
</file>

<file path=xl/sharedStrings.xml><?xml version="1.0" encoding="utf-8"?>
<sst xmlns="http://schemas.openxmlformats.org/spreadsheetml/2006/main" count="1534" uniqueCount="1131">
  <si>
    <t>IN Part Number</t>
  </si>
  <si>
    <t>Description</t>
  </si>
  <si>
    <t>Extended Description</t>
  </si>
  <si>
    <t>Vendor</t>
  </si>
  <si>
    <t>References</t>
  </si>
  <si>
    <t>52-101-319-002</t>
  </si>
  <si>
    <t>FASTENAL</t>
  </si>
  <si>
    <t>https://www.fastenal.com/product/details/1170762</t>
  </si>
  <si>
    <t>52-113-090-010</t>
  </si>
  <si>
    <t>52-114-088-007</t>
  </si>
  <si>
    <t>52-126-957-012</t>
  </si>
  <si>
    <t>52-237-079-013</t>
  </si>
  <si>
    <t>PIPEFITTINGSDIRECT</t>
  </si>
  <si>
    <t>https://pipefittingsdirect.com/3-x-2-inch-NPT-Malleable-Iron-Reduction-Bushings</t>
  </si>
  <si>
    <t>AC0512</t>
  </si>
  <si>
    <t>AMERICANRING</t>
  </si>
  <si>
    <t>https://www.americanring.com/products/snap-ring.aspx?item=5000-393</t>
  </si>
  <si>
    <t>AC0515</t>
  </si>
  <si>
    <t>https://www.americanring.com/products/snap-ring.aspx?item=5002-393</t>
  </si>
  <si>
    <t>AC0516</t>
  </si>
  <si>
    <t>https://www.americanring.com/products/snap-ring.aspx?item=5100-175</t>
  </si>
  <si>
    <t>AC0530</t>
  </si>
  <si>
    <t>https://www.fastenal.com/product/details/466229</t>
  </si>
  <si>
    <t>AC0532</t>
  </si>
  <si>
    <t>MCMASTER</t>
  </si>
  <si>
    <t>https://www.mcmaster.com/44605K222/</t>
  </si>
  <si>
    <t>AC0533</t>
  </si>
  <si>
    <t>https://www.fastenal.com/product?query=91143101&amp;fsi=1</t>
  </si>
  <si>
    <t>AC0545</t>
  </si>
  <si>
    <t>https://www.fastenal.com/product/details/0424336</t>
  </si>
  <si>
    <t>AC1503</t>
  </si>
  <si>
    <t>https://www.mcmaster.com/93882A225/</t>
  </si>
  <si>
    <t>AC1634</t>
  </si>
  <si>
    <t>https://www.fastenal.com/product/details/33625</t>
  </si>
  <si>
    <t>AC1641</t>
  </si>
  <si>
    <t>https://www.fastenal.com/product/details/33619</t>
  </si>
  <si>
    <t>AC1648</t>
  </si>
  <si>
    <t>https://www.mcmaster.com/44605k663/</t>
  </si>
  <si>
    <t>AC2003</t>
  </si>
  <si>
    <t>AC2509</t>
  </si>
  <si>
    <t>https://www.fastenal.com/product?query=11138718&amp;fsi=1</t>
  </si>
  <si>
    <t>AC2630</t>
  </si>
  <si>
    <t>GRAINGER</t>
  </si>
  <si>
    <t>https://www.grainger.com/product/GRAINGER-APPROVED-Tapping-Sheet-Metal-Screw-1ME15</t>
  </si>
  <si>
    <t>AC6115</t>
  </si>
  <si>
    <t>https://www.mcmaster.com/94800A720/</t>
  </si>
  <si>
    <t>AC6116</t>
  </si>
  <si>
    <t>https://www.mcmaster.com/92323A512/</t>
  </si>
  <si>
    <t>AC6124</t>
  </si>
  <si>
    <t>https://www.fastenal.com/product?query=0425913&amp;fsi=1</t>
  </si>
  <si>
    <t>AC8513</t>
  </si>
  <si>
    <t>Fastenal Industrial Supplies, OEM Fasteners, Safety Products &amp; More</t>
  </si>
  <si>
    <t>CP-611-271-482</t>
  </si>
  <si>
    <t>https://www.mcmaster.com/91236A636/</t>
  </si>
  <si>
    <t>CP-611-271-484</t>
  </si>
  <si>
    <t>https://www.mcmaster.com/91236A638/</t>
  </si>
  <si>
    <t>CP-611-271-505</t>
  </si>
  <si>
    <t>https://www.fastenal.ca/sku/10155?attributeName_0=Length&amp;attributeValue_0=1%22&amp;attributeName_1=Dia%2FThread+Size&amp;attributeValue_1=7%2F16%22-14&amp;attributeName_2=Grade&amp;attributeValue_2=A&amp;pm=31699&amp;catId=600003</t>
  </si>
  <si>
    <t>CP-611-271-655</t>
  </si>
  <si>
    <t>https://www.fastenal.com/product/details/11363</t>
  </si>
  <si>
    <t>CP-611-314-613</t>
  </si>
  <si>
    <t>https://www.fastenal.com/product/details/12310</t>
  </si>
  <si>
    <t>CP-611-314-615</t>
  </si>
  <si>
    <t>https://www.fastenal.com/product?query=12311&amp;fsi=1</t>
  </si>
  <si>
    <t>CP-611-314-617</t>
  </si>
  <si>
    <t>https://www.fastenal.com/product/details/12313</t>
  </si>
  <si>
    <t>CP-611-325-467</t>
  </si>
  <si>
    <t>https://www.fastenal.com/product?query=0172269&amp;fsi=1</t>
  </si>
  <si>
    <t>CP-611-327-472</t>
  </si>
  <si>
    <t>https://www.fastenal.com/product/details/77110</t>
  </si>
  <si>
    <t>CP-611-327-480</t>
  </si>
  <si>
    <t>https://www.fastenal.com/product?query=77114&amp;fsi=1</t>
  </si>
  <si>
    <t>CP-611-327-552</t>
  </si>
  <si>
    <t>https://www.fastenal.com/product/details/77211</t>
  </si>
  <si>
    <t>CP-617-039-366</t>
  </si>
  <si>
    <t>https://www.mcmaster.com/90251A181/</t>
  </si>
  <si>
    <t>CP-617-039-367</t>
  </si>
  <si>
    <t>https://www.mcmaster.com/92313a533/</t>
  </si>
  <si>
    <t>CP-617-511-688</t>
  </si>
  <si>
    <t>https://www.fastenal.com/product?query=0161236&amp;fsi=1</t>
  </si>
  <si>
    <t>CP-617-511-691</t>
  </si>
  <si>
    <t>HOLO KROME</t>
  </si>
  <si>
    <t>https://www.holo-krome.com/uploads/7/2/7/5/72754089/hk_ferry_cap_12_point_cap_screws.pdf</t>
  </si>
  <si>
    <t>CP-631-041-112</t>
  </si>
  <si>
    <t>https://www.grainger.com/product/GRAINGER-APPROVED-Hex-Nut-3-4-10-Thread-26LU60</t>
  </si>
  <si>
    <t>CP-651-001-214</t>
  </si>
  <si>
    <t>https://www.fastenal.com/product/details/33081</t>
  </si>
  <si>
    <t>CP-651-001-412</t>
  </si>
  <si>
    <t>https://www.fastenal.com/product/Fasteners/Washers/Flat%252520Washers?Category%20Attributes.Material=Steel&amp;Category%20Attributes.Outer%20Diameter=2.000%22&amp;Category%20Attributes.Finish=Plain&amp;Category%20Attributes.Inner%20Diameter=0.812%22&amp;Category%20Attributes.Nominal%20Thickness=0.148%22&amp;Global%20Attributes.MFG%20in%20the%20USA=Y&amp;showAll=Category%20Attributes.Outer%20Diameter,Category%20Attributes.Inner%20Diameter,Category%20Attributes.Nominal%20Thickness,Category%20Attributes.Material,Category%20Attributes.Finish,Global%20Attributes.MFG%20in%20the%20USA&amp;categoryId=600097&amp;sortBy=Best%20Match&amp;includeSuggestedFilters=false</t>
  </si>
  <si>
    <t>CP-655-011-044</t>
  </si>
  <si>
    <t>https://www.fastenal.com/product?query=33631&amp;fsi=1</t>
  </si>
  <si>
    <t>CP-671-181-371</t>
  </si>
  <si>
    <t>CP-711-315-002</t>
  </si>
  <si>
    <t>https://www.fastenal.com/product/details/466201</t>
  </si>
  <si>
    <t>CP-711-523-004</t>
  </si>
  <si>
    <t>https://www.fastenal.com/product/details/922980732</t>
  </si>
  <si>
    <t>CP-733-105-029</t>
  </si>
  <si>
    <t>CP-819-111-206</t>
  </si>
  <si>
    <t>SKF</t>
  </si>
  <si>
    <t>CP-819-111-207</t>
  </si>
  <si>
    <t>https://www.skf.com/us/products/rolling-bearings/accessories/lock-nuts/keyway/productid-N%2007</t>
  </si>
  <si>
    <t>CP-819-111-208</t>
  </si>
  <si>
    <t>CP-819-111-209</t>
  </si>
  <si>
    <t>https://www.skf.com/us/products/rolling-bearings/accessories/lock-nuts/keyway/productid-N%2009</t>
  </si>
  <si>
    <t>CP-819-111-211</t>
  </si>
  <si>
    <t>https://www.skf.com/us/products/rolling-bearings/accessories/lock-nuts/keyway/productid-N%2011</t>
  </si>
  <si>
    <t>CP-819-133-206</t>
  </si>
  <si>
    <t>https://www.fastenal.com/product/details/0437817</t>
  </si>
  <si>
    <t>CP-819-133-207</t>
  </si>
  <si>
    <t>https://www.fastenal.com/product/details/0437818</t>
  </si>
  <si>
    <t>CP-819-133-208</t>
  </si>
  <si>
    <t>https://www.fastenal.com/product/details/0437819</t>
  </si>
  <si>
    <t>CP-819-133-209</t>
  </si>
  <si>
    <t>https://www.fastenal.com/product/details/0437820</t>
  </si>
  <si>
    <t>DF0073</t>
  </si>
  <si>
    <t>https://www.fastenal.com/product?query=66270&amp;fsi=1</t>
  </si>
  <si>
    <t>DF0489</t>
  </si>
  <si>
    <t>ROTORCLIP</t>
  </si>
  <si>
    <t>https://www.applied.com/c-brands/c-rotor-clip/shr-75st-pa/External-SHR-Retaining-Ring/p/101552445#</t>
  </si>
  <si>
    <t>DF0506</t>
  </si>
  <si>
    <t>PARKER</t>
  </si>
  <si>
    <t>https://ph.parker.com/us/en/product/brass-compression-fittings/68c-4-4</t>
  </si>
  <si>
    <t>DF0507</t>
  </si>
  <si>
    <t>https://ph.parker.com/us/en/product/brass-compression-fittings/169c-4-4?_gl=1*1wa2uk2*_ga*MjYxNDk1MTQ2LjE2ODY1NjcyNDI.*_ga_QBSNDM6SF0*MTY4NjU2NzI0Mi4xLjAuMTY4NjU2NzI0Mi42MC4wLjA.</t>
  </si>
  <si>
    <t>DF0510</t>
  </si>
  <si>
    <t>https://ph.parker.com/us/en/product/brass-compression-fittings/68c-4-2?_gl=1*bxa1d7*_ga*MjYxNDk1MTQ2LjE2ODY1NjcyNDI.*_ga_QBSNDM6SF0*MTY4NjU2NzI0Mi4xLjEuMTY4NjU2ODE4OS40OS4wLjA.</t>
  </si>
  <si>
    <t>DF0511</t>
  </si>
  <si>
    <t>https://ph.parker.com/us/en/product/brass-compression-fittings/169c-4-2</t>
  </si>
  <si>
    <t>DJ0034</t>
  </si>
  <si>
    <t>https://www.grainger.com/product/GRAINGER-APPROVED-Hex-Head-Cap-Screw-Steel-5JTU0</t>
  </si>
  <si>
    <t>DJ0063</t>
  </si>
  <si>
    <t>https://www.grainger.com/product/GRAINGER-APPROVED-Hex-Head-Cap-Screw-Steel-22RY22</t>
  </si>
  <si>
    <t>DJ0066</t>
  </si>
  <si>
    <t>https://www.grainger.com/product/GRAINGER-APPROVED-Hex-Head-Cap-Screw-Steel-22RY24</t>
  </si>
  <si>
    <t>DJ0071</t>
  </si>
  <si>
    <t>https://www.grainger.com/category/fasteners/bolts-screws/hex-head-bolts/standard-hex-head-cap-screws?attrs=Fastener++Length%7C1-1%2F4+in~~Finish%7CZinc+Plated~~Thread+Size%7C3%2F8%22-16&amp;filters=attrs</t>
  </si>
  <si>
    <t>DJ0080</t>
  </si>
  <si>
    <t>https://www.grainger.com/product/GRAINGER-APPROVED-Hex-Head-Cap-Screw-Steel-22RY30</t>
  </si>
  <si>
    <t>DJ0081</t>
  </si>
  <si>
    <t>https://www.grainger.com/product/GRAINGER-APPROVED-Hex-Head-Cap-Screw-Steel-22RY31</t>
  </si>
  <si>
    <t>DJ0083</t>
  </si>
  <si>
    <t>https://www.grainger.com/product/GRAINGER-APPROVED-Hex-Head-Cap-Screw-Steel-22RY33</t>
  </si>
  <si>
    <t>DJ0113</t>
  </si>
  <si>
    <t>https://www.grainger.com/product/GRAINGER-APPROVED-Hex-Head-Cap-Screw-Steel-22RY60</t>
  </si>
  <si>
    <t>DJ0134</t>
  </si>
  <si>
    <t>https://www.grainger.com/product/GRAINGER-APPROVED-Hex-Head-Cap-Screw-Steel-22RY79</t>
  </si>
  <si>
    <t>DJ0157</t>
  </si>
  <si>
    <t>https://www.grainger.com/product/GRAINGER-APPROVED-Hex-Head-Cap-Screw-Steel-22RZ03</t>
  </si>
  <si>
    <t>DJ0201</t>
  </si>
  <si>
    <t>https://www.mcmaster.com/90251A237/</t>
  </si>
  <si>
    <t>DJ0232</t>
  </si>
  <si>
    <t>https://www.grainger.com/product/GRAINGER-APPROVED-Hex-Nut-5-8-11-Thread-1XA32</t>
  </si>
  <si>
    <t>DJ0243</t>
  </si>
  <si>
    <t>https://www.fastenal.com/product?query=0179802&amp;fsi=1</t>
  </si>
  <si>
    <t>DJ0447</t>
  </si>
  <si>
    <t>DJ0448</t>
  </si>
  <si>
    <t>DJ0450</t>
  </si>
  <si>
    <t>DL0007</t>
  </si>
  <si>
    <t>https://www.mcmaster.com/44615K441/</t>
  </si>
  <si>
    <t>DL0008</t>
  </si>
  <si>
    <t>https://www.mcmaster.com/44615K451/</t>
  </si>
  <si>
    <t>DL0009</t>
  </si>
  <si>
    <t>https://www.mcmaster.com/44615K551/</t>
  </si>
  <si>
    <t>DL0021</t>
  </si>
  <si>
    <t>https://www.mcmaster.com/44615K422/</t>
  </si>
  <si>
    <t>DL0025</t>
  </si>
  <si>
    <t>https://www.mcmaster.com/44615K552/</t>
  </si>
  <si>
    <t>DL0028</t>
  </si>
  <si>
    <t>https://www.mcmaster.com/44615K462/</t>
  </si>
  <si>
    <t>F11400</t>
  </si>
  <si>
    <t>https://www.fastenal.com/product/Fasteners/Nuts/Hex%2520Nuts?Category%20Attributes.Finish=Zinc&amp;Category%20Attributes.Type=Hex%20Nut&amp;Category%20Attributes.Dia/Thread%20Size=1%2F2%22-13&amp;showAll=Category%20Attributes.Finish,Category%20Attributes.Type,Category%20Attributes.Dia/Thread%20Size&amp;categoryId=608621&amp;productFamilyId=30629&amp;sortBy=Best%20Match&amp;includeSuggestedFilters=false</t>
  </si>
  <si>
    <t>F12200</t>
  </si>
  <si>
    <t>https://www.fastenal.com/product?query=66928&amp;fsi=1</t>
  </si>
  <si>
    <t>F19200</t>
  </si>
  <si>
    <t>https://www.grainger.com/product/GRAINGER-APPROVED-Hex-Head-Cap-Screw-Steel-22RY63</t>
  </si>
  <si>
    <t>F42800</t>
  </si>
  <si>
    <t>HUYETT</t>
  </si>
  <si>
    <t>https://www.huyett.com/c-025b</t>
  </si>
  <si>
    <t>H27600</t>
  </si>
  <si>
    <t>https://www.grainger.com/product/GRAINGER-APPROVED-Hex-Head-Cap-Screw-Steel-38WN90</t>
  </si>
  <si>
    <t>H28100</t>
  </si>
  <si>
    <t>https://www.grainger.com/product/GRAINGER-APPROVED-Hex-Head-Cap-Screw-Steel-22RY27</t>
  </si>
  <si>
    <t>H28200</t>
  </si>
  <si>
    <t>https://www.grainger.com/product/GRAINGER-APPROVED-Hex-Head-Cap-Screw-Steel-22RY28</t>
  </si>
  <si>
    <t>H28800</t>
  </si>
  <si>
    <t>https://www.grainger.com/product/GRAINGER-APPROVED-Hex-Head-Cap-Screw-Steel-41UE27</t>
  </si>
  <si>
    <t>H32400</t>
  </si>
  <si>
    <t>https://www.fastenal.com/product/details/69317</t>
  </si>
  <si>
    <t>H47900</t>
  </si>
  <si>
    <t>https://www.mcmaster.com/4627k333/</t>
  </si>
  <si>
    <t>H52100</t>
  </si>
  <si>
    <t>https://www.grainger.com/product/GRAINGER-APPROVED-Hex-Head-Cap-Screw-Steel-22RY26</t>
  </si>
  <si>
    <t>J23874</t>
  </si>
  <si>
    <t>https://www.fastenal.com/product/details/71067</t>
  </si>
  <si>
    <t>J23875</t>
  </si>
  <si>
    <t>https://www.fastenal.com/product/details/71071</t>
  </si>
  <si>
    <t>J23876</t>
  </si>
  <si>
    <t>https://www.fastenal.com/product/details/71075</t>
  </si>
  <si>
    <t>J88925</t>
  </si>
  <si>
    <t>IMPERIAL</t>
  </si>
  <si>
    <t>https://www.imperialsupplies.com/item/0901060</t>
  </si>
  <si>
    <t>J89080</t>
  </si>
  <si>
    <t>https://www.fastenal.com/product/details/466200</t>
  </si>
  <si>
    <t>J89092</t>
  </si>
  <si>
    <t>https://www.fastenal.com/product/details/466228</t>
  </si>
  <si>
    <t>J89453</t>
  </si>
  <si>
    <t>https://www.mcmaster.com/4638K824/</t>
  </si>
  <si>
    <t>J89455</t>
  </si>
  <si>
    <t>https://www.mcmaster.com/4638K719/</t>
  </si>
  <si>
    <t>J91634</t>
  </si>
  <si>
    <t>https://img.fastenal.com/catalog_pages/2013/01-198.pdf?_ga=2.48083109.341277210.1686201553-1220395008.1685956386</t>
  </si>
  <si>
    <t>J91635</t>
  </si>
  <si>
    <t>https://img.fastenal.com/catalog_pages/2013/01-198.pdf?_ga=2.19953082.341277210.1686201553-1220395008.1685956386</t>
  </si>
  <si>
    <t>J91636</t>
  </si>
  <si>
    <t>https://www.fastenal.com/product/details/75153</t>
  </si>
  <si>
    <t>J91637</t>
  </si>
  <si>
    <t>https://www.fastenal.com/product?query=75155&amp;fsi=1</t>
  </si>
  <si>
    <t>J91649</t>
  </si>
  <si>
    <t>https://www.mcmaster.com/products/standard-washers/for-screw-size~3-8/material~stainless-steel/id~0-406/od~0-812/system-of-measurement~inch/washer-type~flat/</t>
  </si>
  <si>
    <t>J91659</t>
  </si>
  <si>
    <t>https://www.grainger.com/category/fasteners/nuts/hex-nuts?attrs=Finish+Type%7CPlain~~Hex+Type%7CStandard+Hex~~Material%7CStainless+Steel~~System+of+Measurement%7CInch~~Thread+Size%7C3%2F8%22-16&amp;filters=attrs</t>
  </si>
  <si>
    <t>J91726</t>
  </si>
  <si>
    <t>https://www.mcmaster.com/93882A581/</t>
  </si>
  <si>
    <t>J91727</t>
  </si>
  <si>
    <t>https://www.fastenal.com/product?query=14105&amp;fsi=1</t>
  </si>
  <si>
    <t>J91731</t>
  </si>
  <si>
    <t>https://www.grainger.com/category/fasteners/bolts-screws/hex-head-bolts/standard-hex-head-cap-screws?attrs=Fastener++Length%7C2-1%2F4+in~~Material+Grade%2FClass%7CGrade+5~~Thread+Size%7C5%2F8%22-11&amp;filters=attrs</t>
  </si>
  <si>
    <t>J91988</t>
  </si>
  <si>
    <t>J92017</t>
  </si>
  <si>
    <t>Steel, Grade 5, Hex Head Cap Screw - 22TC68|U01200.062.0275 - Grainger</t>
  </si>
  <si>
    <t>J92052</t>
  </si>
  <si>
    <t>https://www.grainger.com/category/fasteners/bolts-screws/hex-head-bolts/standard-hex-head-cap-screws?attrs=Fastener+Length%7C2+in~~Material%7CStainless+Steel~~Thread+Size%7C3%2F8%22-16&amp;filters=attrs</t>
  </si>
  <si>
    <t>J92054</t>
  </si>
  <si>
    <t>https://www.grainger.com/product/GRAINGER-APPROVED-Hex-Head-Cap-Screw-Steel-22RY46</t>
  </si>
  <si>
    <t>J92135</t>
  </si>
  <si>
    <t>https://www.mcmaster.com/90272A189/</t>
  </si>
  <si>
    <t>J92141</t>
  </si>
  <si>
    <t>https://www.grainger.com/product/GRAINGER-APPROVED-Hex-Head-Cap-Screw-Steel-22RY50</t>
  </si>
  <si>
    <t>J92271</t>
  </si>
  <si>
    <t>https://www.grainger.com/category/fasteners/threaded-rods-studs/fully-threaded-rods-studs?attrs=Material%7CStainless+Steel~~Overall+Length%7C3+in~~Thread+Size%7C3%2F8%22-16&amp;filters=attrs</t>
  </si>
  <si>
    <t>J92291</t>
  </si>
  <si>
    <t>https://www.grainger.com/product/GRAINGER-APPROVED-Hex-Head-Cap-Screw-Steel-5JTU1</t>
  </si>
  <si>
    <t>J92344</t>
  </si>
  <si>
    <t>MOTION</t>
  </si>
  <si>
    <t>https://www.motion.com/products/sku/00633352</t>
  </si>
  <si>
    <t>J92377</t>
  </si>
  <si>
    <t>https://www.skf.com/us/products/rolling-bearings/accessories/lock-nuts/keyway/productid-W%2014</t>
  </si>
  <si>
    <t>J92378</t>
  </si>
  <si>
    <t>J92381</t>
  </si>
  <si>
    <t>J92382</t>
  </si>
  <si>
    <t>https://www.skf.com/us/products/rolling-bearings/accessories/lock-nuts/keyway/productid-W%2012</t>
  </si>
  <si>
    <t>J92383</t>
  </si>
  <si>
    <t>ROTOCLIP</t>
  </si>
  <si>
    <t>J92388</t>
  </si>
  <si>
    <t>https://www.skf.com/us/products/rolling-bearings/accessories/lock-nuts/keyway/productid-N%2013</t>
  </si>
  <si>
    <t>J92389</t>
  </si>
  <si>
    <t>https://www.skf.com/us/products/rolling-bearings/accessories/lock-nuts/keyway/productid-W%2013</t>
  </si>
  <si>
    <t>J92558</t>
  </si>
  <si>
    <t>https://www.mcmaster.com/9714K126/</t>
  </si>
  <si>
    <t>J92560</t>
  </si>
  <si>
    <t>J94171</t>
  </si>
  <si>
    <t>https://www.fastenal.com/product/details/0424508</t>
  </si>
  <si>
    <t>K03600</t>
  </si>
  <si>
    <t>https://www.grainger.com/product/GRAINGER-APPROVED-Hex-Head-Cap-Screw-Steel-22RY58</t>
  </si>
  <si>
    <t>P00651</t>
  </si>
  <si>
    <t>https://www.fastenal.com/product?query=77732&amp;fsi=1</t>
  </si>
  <si>
    <t>P01240</t>
  </si>
  <si>
    <t>https://www.fastenal.com/product/Fasteners/Nuts/Hex%2520Nuts?Category%20Attributes.Dia/Thread%20Size=7%2F16%22-14&amp;Category%20Attributes.Finish=Zinc&amp;Category%20Attributes.Type=Hex%20Nut&amp;showAll=Category%20Attributes.Dia/Thread%20Size,Category%20Attributes.Finish,Category%20Attributes.Type&amp;categoryId=608621&amp;productFamilyId=30629&amp;sortBy=Best%20Match&amp;includeSuggestedFilters=false</t>
  </si>
  <si>
    <t>P01260</t>
  </si>
  <si>
    <t>https://www.grainger.com/product/GRAINGER-APPROVED-Hex-Head-Cap-Screw-Steel-22RY62</t>
  </si>
  <si>
    <t>P01850</t>
  </si>
  <si>
    <t>https://www.fastenal.com/product/details/75011</t>
  </si>
  <si>
    <t>P03470</t>
  </si>
  <si>
    <t>https://www.grainger.com/product/GRAINGER-APPROVED-Hex-Head-Cap-Screw-Steel-22RY42</t>
  </si>
  <si>
    <t>P04920</t>
  </si>
  <si>
    <t>https://www.grainger.com/product/GRAINGER-APPROVED-Machine-Screw-8-32-Thread-2EB66</t>
  </si>
  <si>
    <t>P04940</t>
  </si>
  <si>
    <t>https://www.fastenal.com/product/details/0157582</t>
  </si>
  <si>
    <t>P06870</t>
  </si>
  <si>
    <t>https://www.fastenal.com/product?query=75132&amp;fsi=1</t>
  </si>
  <si>
    <t>P10359</t>
  </si>
  <si>
    <t>P10620</t>
  </si>
  <si>
    <t>https://www.grainger.com/category/fasteners/bolts-screws/hex-head-bolts/standard-hex-head-cap-screws?attrs=Fastener+Length%7C7%2F8+in~~Material+Grade%2FClass%7CGrade+2~~Thread+Size%7C5%2F16%22-18&amp;filters=attrs</t>
  </si>
  <si>
    <t>P10720</t>
  </si>
  <si>
    <t>https://www.mcmaster.com/91375A578/</t>
  </si>
  <si>
    <t>P10910</t>
  </si>
  <si>
    <t>https://www.grainger.com/product/GRAINGER-APPROVED-Flat-Washer-For-Screw-Size-6RPR6</t>
  </si>
  <si>
    <t>P11210</t>
  </si>
  <si>
    <t>https://www.mcmaster.com/91102A765/</t>
  </si>
  <si>
    <t>P11220</t>
  </si>
  <si>
    <t>https://www.fastenal.com/product/details/78069</t>
  </si>
  <si>
    <t>P13780</t>
  </si>
  <si>
    <t>https://www.grainger.com/product/GRAINGER-APPROVED-Hex-Head-Cap-Screw-Steel-22RY59</t>
  </si>
  <si>
    <t>P13800</t>
  </si>
  <si>
    <t>FASTENER MART</t>
  </si>
  <si>
    <t>https://www.fastenermart.com/SH132-6062.html</t>
  </si>
  <si>
    <t>P13810</t>
  </si>
  <si>
    <t>https://www.grainger.com/category/fasteners/bolts-screws/hex-head-bolts/standard-hex-head-cap-screws?attrs=Fastener+Length%7C2-1%2F4+in~~Material+Grade%2FClass%7CGrade+2~~Material%7CSteel~~System+of+Measurement%7CInch~~Thread+Size%7C5%2F8%22-11&amp;filters=attrs</t>
  </si>
  <si>
    <t>P16690</t>
  </si>
  <si>
    <t>https://www.mcmaster.com/5185N131/</t>
  </si>
  <si>
    <t>P19480</t>
  </si>
  <si>
    <t>https://www.grainger.com/product/GRAINGER-APPROVED-Hex-Head-Cap-Screw-Steel-22RY78</t>
  </si>
  <si>
    <t>P19490</t>
  </si>
  <si>
    <t>https://www.grainger.com/product/GRAINGER-APPROVED-Hex-Head-Cap-Screw-Steel-22RY77</t>
  </si>
  <si>
    <t>P19510</t>
  </si>
  <si>
    <t>P19810</t>
  </si>
  <si>
    <t>https://www.grainger.com/product/GRAINGER-APPROVED-Hex-Head-Cap-Screw-Steel-22RY94</t>
  </si>
  <si>
    <t>P2000220</t>
  </si>
  <si>
    <t>https://www.mcmaster.com/91855A490/</t>
  </si>
  <si>
    <t>P2002540</t>
  </si>
  <si>
    <t>https://www.grainger.com/category/fasteners/threaded-rods-studs/fully-threaded-rods-studs?attrs=Material%7CSteel~~Overall+Length%7C2+in~~Thread+Size%7C5%2F8+in%7C5%2F8%22-11&amp;filters=attrs&amp;gwwRemoveElement=true</t>
  </si>
  <si>
    <t>P2002541</t>
  </si>
  <si>
    <t>https://img.fastenal.com/catalog_pages/2013/01-116.pdf?_ga=2.50866345.1648939239.1686547592-1220395008.1685956386</t>
  </si>
  <si>
    <t>P32000</t>
  </si>
  <si>
    <t>https://www.grainger.com/product/GRAINGER-APPROVED-Hex-Head-Cap-Screw-Steel-5JTV5</t>
  </si>
  <si>
    <t>P39020</t>
  </si>
  <si>
    <t>https://www.grainger.com/product/PARKER-Hex-Head-Plug-Carbon-Steel-1DGT7</t>
  </si>
  <si>
    <t>P39040</t>
  </si>
  <si>
    <t>https://www.grainger.com/product/PARKER-Hex-Head-Plug-Zinc-Plated-1DGT8</t>
  </si>
  <si>
    <t>P39050</t>
  </si>
  <si>
    <t>https://www.fastenal.com/product/details/922205743</t>
  </si>
  <si>
    <t>P39075</t>
  </si>
  <si>
    <t>https://www.grainger.com/product/GRAINGER-APPROVED-Square-Head-Plug-Malleable-5P909?opr=Compare</t>
  </si>
  <si>
    <t>P39470</t>
  </si>
  <si>
    <t>https://www.fastenal.com/product/details/922980617</t>
  </si>
  <si>
    <t>P40020</t>
  </si>
  <si>
    <t>https://www.grainger.com/product/GRAINGER-APPROVED-Hex-Head-Cap-Screw-Steel-22RY23</t>
  </si>
  <si>
    <t>P44190</t>
  </si>
  <si>
    <t>https://www.fastenal.com/product/Fasteners/Nuts/Hex%2520Nuts?Category%20Attributes.Dia/Thread%20Size=5%2F16%22-18&amp;Category%20Attributes.Finish=Zinc&amp;Category%20Attributes.Type=Hex%20Nut&amp;showAll=Category%20Attributes.Dia/Thread%20Size,Category%20Attributes.Finish,Category%20Attributes.Type&amp;categoryId=608621&amp;sortBy=Best%20Match&amp;includeSuggestedFilters=false</t>
  </si>
  <si>
    <t>P44250</t>
  </si>
  <si>
    <t>https://www.grainger.com/product/GRAINGER-APPROVED-Hex-Head-Cap-Screw-Steel-22RY32</t>
  </si>
  <si>
    <t>P44580</t>
  </si>
  <si>
    <t>https://www.grainger.com/product/GRAINGER-APPROVED-Flat-Washer-For-Screw-Size-6RPR5</t>
  </si>
  <si>
    <t>P44620</t>
  </si>
  <si>
    <t>https://www.mcmaster.com/5185N129/</t>
  </si>
  <si>
    <t>P45110</t>
  </si>
  <si>
    <t>https://www.grainger.com/category/fasteners/bolts-screws/hex-head-bolts/standard-hex-head-cap-screws?attrs=Fastener+Length%7C1-3%2F4+in~~Material+Grade%2FClass%7CGrade+5~~Material%7CSteel~~System+of+Measurement%7CInch~~Thread+Size%7C1%2F2%22-13&amp;filters=attrs</t>
  </si>
  <si>
    <t>P45910</t>
  </si>
  <si>
    <t>https://www.fastenal.com/product/Fasteners/Nuts/Hex%2520Nuts?query=NUT&amp;Category%20Attributes.Dia/Thread%20Size=7%2F16%22-20&amp;Category%20Attributes.Finish=Zinc&amp;Category%20Attributes.Type=Hex%20Nut&amp;showAll=Category%20Attributes.Finish,Category%20Attributes.Dia/Thread%20Size,Category%20Attributes.Type&amp;categoryId=608621&amp;productFamilyId=30629&amp;sortBy=Best%20Match&amp;includeSuggestedFilters=false</t>
  </si>
  <si>
    <t>P46420</t>
  </si>
  <si>
    <t>P49358</t>
  </si>
  <si>
    <t>https://www.huyett.com/hipro-404</t>
  </si>
  <si>
    <t>P5001037</t>
  </si>
  <si>
    <t>https://www.grainger.com/product/GRAINGER-APPROVED-Hex-Head-Cap-Screw-Steel-22RY09</t>
  </si>
  <si>
    <t>P5001038</t>
  </si>
  <si>
    <t>Inch, External, Retaining Ring,External,0.062 in Thk - 5DB31|SH-200SS - Grainger</t>
  </si>
  <si>
    <t>P5001059</t>
  </si>
  <si>
    <t>P5001094</t>
  </si>
  <si>
    <t>P5001259</t>
  </si>
  <si>
    <t>APPLIED</t>
  </si>
  <si>
    <t>Rotor Clip | SH-293SS | External SH Retaining Ring | Applied</t>
  </si>
  <si>
    <t>P5001283</t>
  </si>
  <si>
    <t>Rotor Clip | SH-343SS | External SH Retaining Ring | Applied</t>
  </si>
  <si>
    <t>P5001743</t>
  </si>
  <si>
    <t>https://www.mcmaster.com/94744A446/</t>
  </si>
  <si>
    <t>P5001744</t>
  </si>
  <si>
    <t>https://www.fastenal.com/product/details/0123529</t>
  </si>
  <si>
    <t>P5001992</t>
  </si>
  <si>
    <t>https://www.grainger.com/category/fasteners/bolts-screws/hex-head-bolts/standard-hex-head-cap-screws?attrs=Fastener+Length%7C3-1%2F2+in~~Material+Grade%2FClass%7CGrade+2~~Thread+Size%7C3%2F8%22-16&amp;filters=attrs</t>
  </si>
  <si>
    <t>P5002217</t>
  </si>
  <si>
    <t>https://www.fastenal.com/product/Fasteners/Set%2520Screws/Socket%2520Set%2520Screws?Category%20Attributes.Dia/Thread%20Size=1%2F4%22-20&amp;Category%20Attributes.Material=Stainless%20Steel&amp;Category%20Attributes.Length=3%2F8%22&amp;Category%20Attributes.Point=Cup&amp;showAll=Category%20Attributes.Dia/Thread%20Size,Category%20Attributes.Length,Category%20Attributes.Material,Category%20Attributes.Point&amp;categoryId=600049&amp;sortBy=Best%20Match&amp;includeSuggestedFilters=false</t>
  </si>
  <si>
    <t>P51750</t>
  </si>
  <si>
    <t>https://www.fastenal.com/product/details/0157583</t>
  </si>
  <si>
    <t>P52350</t>
  </si>
  <si>
    <t>https://www.grainger.com/category/fasteners/bolts-screws/hex-head-bolts/standard-hex-head-cap-screws?attrs=Fastener+Length%7C1-1%2F8+in~~Material%7CStainless+Steel~~Thread+Size%7C3%2F8%22-16&amp;filters=attrs</t>
  </si>
  <si>
    <t>P52380</t>
  </si>
  <si>
    <t>https://www.fastenal.com/product/Fasteners/Nuts/Hex%2520Nuts?Category%20Attributes.Dia/Thread%20Size=3%2F8%22-16&amp;Category%20Attributes.Finish=Zinc&amp;Category%20Attributes.Type=Hex%20Nut&amp;showAll=Category%20Attributes.Dia/Thread%20Size,Category%20Attributes.Finish,Category%20Attributes.Type&amp;categoryId=608621&amp;productFamilyId=30629&amp;sortBy=Best%20Match&amp;includeSuggestedFilters=false</t>
  </si>
  <si>
    <t>P54700</t>
  </si>
  <si>
    <t>https://www.grainger.com/category/fasteners/bolts-screws/hex-head-bolts/standard-hex-head-cap-screws?attrs=Fastener+Length%7C1-1%2F4+in~~Material+Grade%2FClass%7CGrade+2~~Thread+Size%7C7%2F16%22-14&amp;filters=attrs</t>
  </si>
  <si>
    <t>P59570</t>
  </si>
  <si>
    <t>https://www.fastenal.com/product/Fasteners/Nuts/Hex%2520Nuts?Category%20Attributes.Dia/Thread%20Size=7%2F16%22-20&amp;Category%20Attributes.Grade=316&amp;Category%20Attributes.Type=Hex%20Nut&amp;showAll=Category%20Attributes.Dia/Thread%20Size,Category%20Attributes.Grade,Category%20Attributes.Type&amp;categoryId=608621&amp;productFamilyId=30628&amp;sortBy=Best%20Match&amp;includeSuggestedFilters=false</t>
  </si>
  <si>
    <t>P70614</t>
  </si>
  <si>
    <t>LINCOLN</t>
  </si>
  <si>
    <t>https://lincolube.com/wp-content/uploads/fitingi_aksesoari.pdf</t>
  </si>
  <si>
    <t>P71386</t>
  </si>
  <si>
    <t>P71388</t>
  </si>
  <si>
    <t>P75206</t>
  </si>
  <si>
    <t>https://www.grainger.com/product/GRAINGER-APPROVED-Hex-Head-Cap-Screw-Steel-22RY12</t>
  </si>
  <si>
    <t>P75207</t>
  </si>
  <si>
    <t>https://www.grainger.com/product/GRAINGER-APPROVED-Hex-Head-Cap-Screw-Steel-22RY13</t>
  </si>
  <si>
    <t>P75218</t>
  </si>
  <si>
    <t>SMALLEY</t>
  </si>
  <si>
    <t>https://www.smalley.com/ring/fse-0125</t>
  </si>
  <si>
    <t>P75219</t>
  </si>
  <si>
    <t>https://www.smalley.com/ring/fse-0162</t>
  </si>
  <si>
    <t>P75404</t>
  </si>
  <si>
    <t>https://www.smalley.com/ring/fse-0212</t>
  </si>
  <si>
    <t>P77375</t>
  </si>
  <si>
    <t>https://www.skf.com/us/products/rolling-bearings/accessories/lock-nuts/keyway/productid-W%2011</t>
  </si>
  <si>
    <t>P85063</t>
  </si>
  <si>
    <t>Rotor Clip | VSH-215ST PA | External VSH Retaining Ring | Applied</t>
  </si>
  <si>
    <t>ASMC</t>
  </si>
  <si>
    <t>S26300</t>
  </si>
  <si>
    <t>https://www.mcmaster.com/44615K452/</t>
  </si>
  <si>
    <t>S29400</t>
  </si>
  <si>
    <t>https://www.grainger.com/category/fasteners/bolts-screws/hex-head-bolts/standard-hex-head-cap-screws?attrs=Fastener+Length%7C5%2F8+in~~Material+Grade%2FClass%7CGrade+2~~Material%7CSteel~~Thread+Size%7C3%2F8%22-16&amp;filters=attrs</t>
  </si>
  <si>
    <t>S39740</t>
  </si>
  <si>
    <t>https://www.fastenal.com/product/details/924310628</t>
  </si>
  <si>
    <t>S42940</t>
  </si>
  <si>
    <t>https://www.imperialsupplies.com/item/0901070</t>
  </si>
  <si>
    <t>S66620</t>
  </si>
  <si>
    <t>https://www.mcmaster.com/44615K412/</t>
  </si>
  <si>
    <t>V51090</t>
  </si>
  <si>
    <t>https://www.motion.com/products/sku/00633759;origin=sayt</t>
  </si>
  <si>
    <t>V51091</t>
  </si>
  <si>
    <t>Inch, External, E Style Retaining Ring,0.05" Thk,PK50 - 5CE25|SE-74ST ZD - Grainger</t>
  </si>
  <si>
    <t>V51092</t>
  </si>
  <si>
    <t>https://www.motion.com/products/sku/00652779;origin=sayt</t>
  </si>
  <si>
    <t>V51093</t>
  </si>
  <si>
    <t>https://www.motion.com/products/sku/00633374;origin=sayt</t>
  </si>
  <si>
    <t>V51094</t>
  </si>
  <si>
    <t>Rotor Clip SE-74 STZD - Motion</t>
  </si>
  <si>
    <t>https://www.huyett.com/spc3p-109-0500</t>
  </si>
  <si>
    <t>Snap Retaining Ring External 1-5/8 Stainless Steel (huyett.com)</t>
  </si>
  <si>
    <t>Groove Pin 1/8 x 3/4 Type U 300 Series Stainless Steel (huyett.com)</t>
  </si>
  <si>
    <t>Groove Pin 1/8 x 3/8 Type A 300 Series Stainless Steel (huyett.com)</t>
  </si>
  <si>
    <t>Groove Pin 3/16 x 1-1/8 Type A Low Carbon Steel Zinc Clear (huyett.com)</t>
  </si>
  <si>
    <t>https://www.grainger.com/category/pipe-hose-tube-fittings/tube-tube-fittings/tube-fittings/compression-tube-fittings/brass-compression-tube-fittings/brass-compression-tube-fittings-for-air-liquids-chemicals?attrs=Fitting+Shape%7CTee~~For+Tube+Outside+Diameter%7C1%2F4+in~~System+of+Measurement%7CImperial&amp;filters=attrs%2CwebParentSkuKey&amp;webParentSkuKey=WP13923403&amp;gwwRemoveElement=true</t>
  </si>
  <si>
    <t>https://www.grainger.com/product/6MM62?gucid=N:N:PS:Paid:GGL:CSM-2296:9JMEDM:20500731&amp;gad_source=1&amp;gclid=CjwKCAjwl4yyBhAgEiwADSEjeCBWeB0rFt_GFBT9Rgb6bHxZQVI9rjBhYHgFrSWO1Jj_0jNWF9GSyRoCeF4QAvD_BwE&amp;gclsrc=aw.ds</t>
  </si>
  <si>
    <t>MSC DIRECT</t>
  </si>
  <si>
    <t>https://www.mscdirect.com/product/details/03244472</t>
  </si>
  <si>
    <t>https://www.mscdirect.com/product/details/03244464</t>
  </si>
  <si>
    <t>https://www.huyett.com/ww3-3917-042</t>
  </si>
  <si>
    <t>https://www.grainger.com/category/fasteners/bolts-screws/set-screws?attrs=Overall+Length%7C3%2F16+in~~System+of+Measurement%7CInch~~Thread+Size%7C%238-36&amp;filters=attrs</t>
  </si>
  <si>
    <t>https://www.grainger.com/category/fasteners/bolts-screws/set-screws?attrs=Overall+Length%7C1%2F4+in~~Point+Type%7CKnurled+Cup~~Thread+Size%7C1%2F4%22-28&amp;filters=attrs&amp;gwwRemoveElement=true</t>
  </si>
  <si>
    <t>https://www.rotorclip.com/post/product_type/self-locking-and-push-on-retaining-rings/</t>
  </si>
  <si>
    <t>STD BUSHING .25 TO .125   BR01</t>
  </si>
  <si>
    <t>1/4 X 1/8 NPT STEEL BUSHING, STD.          NDA;</t>
  </si>
  <si>
    <t>buyfittingsonline</t>
  </si>
  <si>
    <t>https://www.buyfittingsonline.com/pipe-fittings-forged-carbon-steel-hex-bushings-3000-lb-npt-threaded-1-4-in-x-1-8-in/</t>
  </si>
  <si>
    <t>229480</t>
  </si>
  <si>
    <t>LOCKWASHER #8 INT BRNZ</t>
  </si>
  <si>
    <t>bunn</t>
  </si>
  <si>
    <t>https://commercial.bunn.com/20203.0100</t>
  </si>
  <si>
    <t>49511-304</t>
  </si>
  <si>
    <t>SCREW, HOUSING</t>
  </si>
  <si>
    <t>STEEL;ALL SIZES;9100 SERIES PUMP;</t>
  </si>
  <si>
    <t>McMaster</t>
  </si>
  <si>
    <t>https://www.mcmaster.com/products/screws/length~2/hex-head-screws~/fastener-head-type~hex/material~stainless-steel-2/18-8-stainless-steel-hex-head-screws-10/head-height~15-32/thread-type~unc/specifications-met~asme-b18-2-1/</t>
  </si>
  <si>
    <t>49514-204</t>
  </si>
  <si>
    <t>SCREW, SLEEVE NUT</t>
  </si>
  <si>
    <t>316 STN. STL. .250-20 UNC-3A X .375 LG. HEX SOCKET SET SCREW, CUP POINT;9100 SERIES PUMP;</t>
  </si>
  <si>
    <t>https://www.mcmaster.com/92313A535/</t>
  </si>
  <si>
    <t>49514-309-2210</t>
  </si>
  <si>
    <t>HEX HEAD CAPSCREW</t>
  </si>
  <si>
    <t>SET SCREW;SET SCREW, HEX SOCKET, CUP POINT;1/2-13UNC-3A X 1.50" LG, ANSI B18.3;THREADS PER ANSI B1.1 UNC CLASS 3A;</t>
  </si>
  <si>
    <t>https://www.mcmaster.com/92313A718/</t>
  </si>
  <si>
    <t>510830</t>
  </si>
  <si>
    <t>SCREW 3/8-16 X 1-1/8 HEX    ST</t>
  </si>
  <si>
    <t>3/8-16 X 1-1/8 HEX HEAD CAP SCREW;STEEL GRADE 5, BLACK OXIDE;</t>
  </si>
  <si>
    <t>Grainger</t>
  </si>
  <si>
    <t>Steel, Grade 8, Hex Head Cap Screw - 30Z861|TAPG83816118 - Grainger</t>
  </si>
  <si>
    <t>52-108-709-043</t>
  </si>
  <si>
    <t>STUD</t>
  </si>
  <si>
    <t>STUD  3/8-16 X 2 3/4;18/8  STN.STL. MISC STUD;</t>
  </si>
  <si>
    <t>Bolt depot</t>
  </si>
  <si>
    <t>https://boltdepot.com/Product-Details?product=10633</t>
  </si>
  <si>
    <t>52-129-019-001</t>
  </si>
  <si>
    <t>BOLT,GLAND .500 X 3.15 LG.</t>
  </si>
  <si>
    <t>GLAND BOLT FOR CENTRIFUGAL PUMPS;.500-13-UNC2A X 3.15 LG. MATERIAL:  SILICON BRASS;MAKE FROM CSTG P/N 52-129-019-002;</t>
  </si>
  <si>
    <t>https://www.mcmaster.com/92941A726/</t>
  </si>
  <si>
    <t>8601-3016</t>
  </si>
  <si>
    <t>LOCKNUT, BEARING</t>
  </si>
  <si>
    <t>https://www.skf.com/us/products/rolling-bearings/accessories/lock-nuts/keyway/productid-AN%2016</t>
  </si>
  <si>
    <t>8910-0016</t>
  </si>
  <si>
    <t>LOCKWASHER, BEARING</t>
  </si>
  <si>
    <t>https://www.skf.com/us/products/rolling-bearings/accessories/lock-nuts/keyway/productid-W%2016</t>
  </si>
  <si>
    <t>A06941A-315</t>
  </si>
  <si>
    <t>RETAINING RING</t>
  </si>
  <si>
    <t>Huyett</t>
  </si>
  <si>
    <t>https://www.huyett.com/sh-315</t>
  </si>
  <si>
    <t>AC0501</t>
  </si>
  <si>
    <t>NUT, HEX HVY 3/8"-16UNC-2B</t>
  </si>
  <si>
    <t>3/8"-16UNC-2B;SAE GR.2 STEEL, PER AMERICAN STD. B18.2.2;A-C #CP-631-041-106;</t>
  </si>
  <si>
    <t>Low-Strength Steel Thin Heavy Hex Nut, Grade 2, 3/8"-16 Thread Size | McMaster-Carr</t>
  </si>
  <si>
    <t>AC0502</t>
  </si>
  <si>
    <t>WASHER, FLAT 1/2"BOLT SIZE</t>
  </si>
  <si>
    <t>STEEL, B&amp;G#X10800,ZINC PLATED;A-C #CP-651-005-301;</t>
  </si>
  <si>
    <t>Zinc-Plated Steel USS Washer, for 7/16" Screw Size, 0.5" ID, 1.25" OD | McMaster-Carr</t>
  </si>
  <si>
    <t>AC0503</t>
  </si>
  <si>
    <t>WASHER, FLAT 3/4"BOLT SIZE</t>
  </si>
  <si>
    <t>PLAIN ROUND STEEL, 13/16"I.D.X2"O.D.X1/4"THK. ZINC PLATED;A-C #CP-651-005-413;</t>
  </si>
  <si>
    <t>https://www.mcmaster.com/98026A118/</t>
  </si>
  <si>
    <t>AC0510</t>
  </si>
  <si>
    <t>RING, BRG. HSG.</t>
  </si>
  <si>
    <t>RETAINING RING, BASIC INTERNAL SERIES, SIZE NO. 281, CARBON SPRING STEEL, SAE 1060-1090, OIL DIPPED. A-C #CP-673-151-281;**;</t>
  </si>
  <si>
    <t>americanring</t>
  </si>
  <si>
    <t>https://www.americanring.com/products/snap-ring.aspx?item=5000-281</t>
  </si>
  <si>
    <t>RING, SHAFT RETAINING</t>
  </si>
  <si>
    <t>AC0517</t>
  </si>
  <si>
    <t>RETAINING RING, BEVELED EXTERNAL SERIES, SIZE NO.118, CARBON SPRING STEEL, SAE 1060-1090, OIL DIPPED. A-C #CP-673-171-118;**;</t>
  </si>
  <si>
    <t>https://www.rotorclip.com/product/SHR-118/#materials-and-finishes</t>
  </si>
  <si>
    <t>BFO</t>
  </si>
  <si>
    <t>AC0535</t>
  </si>
  <si>
    <t>CONNECTOR,MALE COMP.1/4ODX1/4"</t>
  </si>
  <si>
    <t>SIZE: 1/4"OD TUBE X 1/4"NOM. PIPE (NPTFE). COMPRESSION TYPE ADAPTER UNION, BRASS. A-C #CP-717-801-016;**;</t>
  </si>
  <si>
    <t>https://www.buyfittingsonline.com/stainless-steel-fittings-compression-tube-1-4-in-x-1-4-in-npt-male-connector-316ss-/</t>
  </si>
  <si>
    <t>AC0540</t>
  </si>
  <si>
    <t>O-RING, SIZE 365</t>
  </si>
  <si>
    <t>SIZE NO. 365;NITRILE POLYMER, 70 DURO.,PARKER NO.N1499-70;A-C #CP-751-531-365;NOTE: INDIVIDUAL CONTAINER SUCH AS CARTON, ROLL OR BAG SUPPLIED;      BY VENDOR REQUIRES A LABEL OR TAG INDICATING MANUFACTURER,       MANUFACTURER'S PART #, DATE OF MANUFACTURE, COMPOUND #;      AND B&amp;G PART#.</t>
  </si>
  <si>
    <t>All Orings</t>
  </si>
  <si>
    <t>https://www.allorings.com/configurator-cpd</t>
  </si>
  <si>
    <t>AC0541</t>
  </si>
  <si>
    <t>O-RING, SIZE 377</t>
  </si>
  <si>
    <t>SIZE NO. 377;NITRILE POLYMER, 70 DURO.,PARKER NO.N1499-70;A-C #CP-751-531-377;NOTE: INDIVIDUAL CONTAINER SUCH AS CARTON, ROLL OR BAG;      SUPPLIED BY VENDOR REQUIRES A LABEL OR TAG INDICATING;      MANUFACTURER, MANUFACTURER'S PART #, DATE OF MANUFACTURE,       COMPOUND # AND B&amp;G PART #.</t>
  </si>
  <si>
    <t>https://www.allorings.com/configurator-qty</t>
  </si>
  <si>
    <t>AC0543</t>
  </si>
  <si>
    <t>O-RING, SIZE 383</t>
  </si>
  <si>
    <t>SIZE NO. 383;NITRILE POLYMER, 70 DURO., COMPOUND NO. 8307. A-C #CP-751-531-383;NOTE: INDIVIDUAL CONTAINER SUCH AS CARTON, ROLL OR BAG;      SUPPLIED BY VENDOR REQUIRES A LABEL OR TAG INDICATING;      MANUFACTURER, MANUFACTURER'S PART #, DATE OF MANUFACTURE,       COMPOUND # AND B&amp;G PART #.</t>
  </si>
  <si>
    <t>AC0544</t>
  </si>
  <si>
    <t>O-RING, SIZE 130</t>
  </si>
  <si>
    <t>SIZE NO. 130;NITRILE POLYMER, 70 DURO., COMPOUND NO. 8307. A-C #CP-751-531-430;NOTE: INDIVIDUAL CONTAINER SUCH AS CARTON, ROLL OR BAG;      SUPPLIED BY VENDOR REQUIRES A LABEL OR TAG INDICATING;      MANUFACTURER, MANUFACTURER'S PART #, DATE OF MANUFACTURE,       COMPOUND # AND B&amp;G PART #.</t>
  </si>
  <si>
    <t>The O-Ring Store</t>
  </si>
  <si>
    <t>https://www.theoringstore.com/store/index.php?main_page=product_info&amp;products_id=4951</t>
  </si>
  <si>
    <t>AC0580</t>
  </si>
  <si>
    <t>STUD,SPOL. 1/2"-13UNCX2-1/4LG</t>
  </si>
  <si>
    <t>SIZE: 1/2"DIA.-13UNCX2-1/4"LG. (CONTINUOUS THREADS PER DWG.);MAT'L : STEEL, ZINC PLATED, (PER DRWG. NOTE #2). A-C #52-108-709-027;</t>
  </si>
  <si>
    <t>Threaded on Both Ends Alloy Steel Shoulder Stud, 1/2"-13 Thread Size, 2-1/4" Long | McMaster-Carr</t>
  </si>
  <si>
    <t>AC0581</t>
  </si>
  <si>
    <t>STUD 3/8"-16UNC-2AX2-3/4LG</t>
  </si>
  <si>
    <t>3/8"-16UNC-2AX2-3/4"LG., CONTINUOUS THREADS, MUST HAVE 55,000 P.S.I. YIELD SAE GR.2 STD. NOTE: TO BE ZINC PLATED PER MIL.-STD. SPEC. QQ-2,       325A CLASS 2, TYPE 2. A-C #52-117-852-002;</t>
  </si>
  <si>
    <t>18-8 Stainless Steel Threaded on One End Stud, 3/8"-16 Thread Size, 3-1/2" Long | McMaster-Carr</t>
  </si>
  <si>
    <t>AC0584</t>
  </si>
  <si>
    <t>NUT, IMPELLER 3/4"-10</t>
  </si>
  <si>
    <t>FLANGE NUT, 3/4"-10;STEEL, ASTM A307 GRADE "A";MUST BE CHROME OR ZINC DICHROMATE PLATED. A-C #52-119-899-001;</t>
  </si>
  <si>
    <t>3/4"-10 Zinc Finish Grade A Finished Hex Nut | Fastenal</t>
  </si>
  <si>
    <t>fasternal</t>
  </si>
  <si>
    <t>AC0585</t>
  </si>
  <si>
    <t>NUT, IMPELLER 1/2"-13</t>
  </si>
  <si>
    <t>FLANGE NUT, 1/2"-13;STEEL, ASTM A307 GRADE "A";MUST BE CHROME OR ZINC DICHROMATE PLATED. A-C #52-119-899-002;</t>
  </si>
  <si>
    <t>1/2"-13 Zinc Finish Grade A Finished Hex Nut | Fastenal</t>
  </si>
  <si>
    <t>AC1502</t>
  </si>
  <si>
    <t>WASHER 21/32X1-5/16X.095TK</t>
  </si>
  <si>
    <t>PLAIN ROUND STEEL, 21/32"X1-5/16"X.095"THK. A-C #CP-651-001-356;</t>
  </si>
  <si>
    <t>https://www.mcmaster.com/98023A035/</t>
  </si>
  <si>
    <t>THREAD FORM SCREW 1/4X5/8 LG.</t>
  </si>
  <si>
    <t>1/4"DIA.-20UNC-2AX5/8"LG., THREAD FORMING SCREW, WASHER HD. PER ANSI B18.6.4;STEEL, ZINC PLATED;A-C #CP-611-469-220;**;</t>
  </si>
  <si>
    <t>AC2444</t>
  </si>
  <si>
    <t>SCREW, HHC 1/2-13 X 3-5/8</t>
  </si>
  <si>
    <t>FOR 2" SLEEVE: CAPSCREW, HEX HD 1/2" DIA 13UNC-2A X 3-5/8" LG;MAT'L:  304 OR 305 STAINLESS STEEL;</t>
  </si>
  <si>
    <t>https://www.grainger.com/product/Socket-Head-Cap-Screw-1-2-45FV32</t>
  </si>
  <si>
    <t>AC2507</t>
  </si>
  <si>
    <t>SEAL, WASHER, 1/2"</t>
  </si>
  <si>
    <t>SEAL, WASHER, 1/2";PARKER P/N 7500-1/2;</t>
  </si>
  <si>
    <t>Southern Water Services LLC</t>
  </si>
  <si>
    <t>https://southernwaterservice.com/product/hydromatic-part-010370031-seal-threadparker7500-1-2/</t>
  </si>
  <si>
    <t>AC2508</t>
  </si>
  <si>
    <t>KEY, IMPELLER</t>
  </si>
  <si>
    <t>KEY, .38 WD X .31 HT X 2.50 LG;MAT'L:  ASTM A108, GR. C1018;</t>
  </si>
  <si>
    <t>Machine Key 5/16 x 3/8 x 2-1/4 Form B CS PL UN (huyett.com)</t>
  </si>
  <si>
    <t>AC2520</t>
  </si>
  <si>
    <t>KEY</t>
  </si>
  <si>
    <t>KEY, .25" WD X .25" HT X 3.00" LG;MAT'L:  STEEL (ASTM A108, GRADE C1018);</t>
  </si>
  <si>
    <t>Machine Key 1/4 x 1/4 x 3 Form B Carbon Steel Undersize (huyett.com)</t>
  </si>
  <si>
    <t>AC5733</t>
  </si>
  <si>
    <t>SNAP RING EXT 3.15</t>
  </si>
  <si>
    <t>SNAP RING,  EXT. 3.15";</t>
  </si>
  <si>
    <t>https://www.rotorclip.com/product/sh-315/</t>
  </si>
  <si>
    <t>AC5734</t>
  </si>
  <si>
    <t>SNAP RING EXT BEVELED 3.15</t>
  </si>
  <si>
    <t>SNAP RING,  EXT BEVELED 3.15";</t>
  </si>
  <si>
    <t>https://www.rotorclip.com/product/ho-315/?utm_term=&amp;utm_campaign=**LP+DSA+(NA)&amp;utm_source=adwords&amp;utm_medium=ppc&amp;hsa_acc=9929737552&amp;hsa_cam=12266293198&amp;hsa_grp=125951156788&amp;hsa_ad=516325378273&amp;hsa_src=g&amp;hsa_tgt=dsa-19959388920&amp;hsa_kw=&amp;hsa_mt=&amp;hsa_net=adwords&amp;hsa_ver=3&amp;gad_source=1&amp;gclid=Cj0KCQjwir2xBhC_ARIsAMTXk877G5qmS8eTNSp__DlQzmxmQAcGBBBwxE6E6V042bt2WGDuA9Cve04aAq7REALw_wcB</t>
  </si>
  <si>
    <t>AC5760</t>
  </si>
  <si>
    <t>CAPSCREW 12PT 1-8UNCX7</t>
  </si>
  <si>
    <t>CAPSCREW 1-8UNCX7;12 POINT FLANGE HEAD;MATERIAL: UNPLATED ALLOY STEEL MIN TENSILE STRENGTH 170K PSI;</t>
  </si>
  <si>
    <t>https://www.asmc.net/1-8-x-7-coarse-thread-12-point-flange-screw-alloy-steel-thermal-black-oxide/</t>
  </si>
  <si>
    <t>AC5761</t>
  </si>
  <si>
    <t>CAPSCREW 12PT 1-8UNCX2-3/4</t>
  </si>
  <si>
    <t>CAPSCREW 1-8UNCX2-3/4;12 POINT FLANGE HEAD;MATERIAL: UNPLATED ALLOY STEEL MIN TENSILE STRENGTH 170K PSI;</t>
  </si>
  <si>
    <t>https://www.asmc.net/1-8-x-2-3-4-coarse-thread-12-point-flange-screw-alloy-steel-thermal-black-oxide/</t>
  </si>
  <si>
    <t>AC5765</t>
  </si>
  <si>
    <t>CAPSCREW 1/2-13UNCX2-1/2 SS</t>
  </si>
  <si>
    <t>CAPSCREW 1/2-13UNCX2-1/2;MATERIAL: 18-8 STAINLESS STEEL;MEETS ASME B18.2.1;FULL LENGTH THREAD;</t>
  </si>
  <si>
    <t>https://www.mcmaster.com/92240A722/</t>
  </si>
  <si>
    <t>AC5937</t>
  </si>
  <si>
    <t>CAPSCREW 12PT  7/8-9UNCX6.5</t>
  </si>
  <si>
    <t>CAPSCREW 7/8-9UNCX6.5;12 POINT FLANGE HEAD;MATERIAL: UNPLATED ALLOY STEEL MIN TENSILE STRENGTH 170K PSI;</t>
  </si>
  <si>
    <t>https://www.asmc.net/7-8-9-x-6-1-2-coarse-thread-12-point-flange-screw-alloy-steel-thermal-black-oxide/</t>
  </si>
  <si>
    <t>AC5938</t>
  </si>
  <si>
    <t>SNAP RING EXT BEVELED 1.77</t>
  </si>
  <si>
    <t>SNAP RING,  EXT BEVELED 1.77";</t>
  </si>
  <si>
    <t>https://www.rotorclip.com/product/VSH-177/</t>
  </si>
  <si>
    <t>AC8669</t>
  </si>
  <si>
    <t>STUD BOLT 3/8-16 X 3.625</t>
  </si>
  <si>
    <t>STUD BOLT 3/8" DIA. 16UNC-2A X 3.625" LG. #303;STAINLESS STEEL (WITH CONTINUOUS THREADS);</t>
  </si>
  <si>
    <t>C02495A-239</t>
  </si>
  <si>
    <t>O-RING, END CAP</t>
  </si>
  <si>
    <t>BUNA-N;PURCHASE PER PRINT;9100 SERIES PUMP;</t>
  </si>
  <si>
    <t>https://www.theoringstore.com/store/index.php?main_page=product_info&amp;products_id=4892</t>
  </si>
  <si>
    <t>CP-315-142-373</t>
  </si>
  <si>
    <t>CAPSCREW SKT HD .25-20UNCX5/8"</t>
  </si>
  <si>
    <t>.25"-20UNC-2A X 5/8" LG. STEEL;DIMENSIONS TO CONFORM TO ANSI STANDARD B18.2.1. LOW CARBON STEEL, SAE GRADE 2.</t>
  </si>
  <si>
    <t>https://www.huyett.com/sets-10-0075</t>
  </si>
  <si>
    <t>CP-611-271-465</t>
  </si>
  <si>
    <t>SCREW HH CAP</t>
  </si>
  <si>
    <t>SPECIAL BIN MIN ORDERING SYSTEM. SEE BUYER FOR DETAILS. ORIGINAL DWG SENT TO B&amp;G;</t>
  </si>
  <si>
    <t>https://www.grainger.com/product/Hex-Head-Cap-Screw-Steel-22RX09</t>
  </si>
  <si>
    <t>CP-611-271-466</t>
  </si>
  <si>
    <t>SCREW STL .375-16X1.000</t>
  </si>
  <si>
    <t>CAP SCREW HEX HEAD .375-16UNC-2A X 1.000 LG;AMERICAN STANDARD B18.2.1;STANDARD THREAD LENGTH, THREAD: UNC-2A;MATERIAL: STEEL, SAE GRADE 2 OR ASTM A-307 WHERE APPLICABLE;NOT PLATED;</t>
  </si>
  <si>
    <t>https://www.grainger.com/product/Hex-Head-Cap-Screw-Steel-22RX10</t>
  </si>
  <si>
    <t>CP-611-271-545</t>
  </si>
  <si>
    <t>CAPSCREW HH .50-13UNCX1.125LG</t>
  </si>
  <si>
    <t>HEX HD CAPSCREW;.500" DIA.-13UNC-2A X 1.125" LG (STD THREAD LENGTH);DIMENSIONS TO CONFORM TO ANSI STANDARD B18.2.1;MAT'L:  STEEL, SAE GRADE 2, NOT PLATED;</t>
  </si>
  <si>
    <t>https://www.mcmaster.com/92865A256/</t>
  </si>
  <si>
    <t>SCREW, .625-11UNC-2A,1.750LG.</t>
  </si>
  <si>
    <t>SPECIAL BIN MIN ORDERING SYSTEM. SEE BUYER FOR DETAILS. SCREW, CAP - HEXAGON HEAD, .625-11UNC-2A X 1.750"LG. AMER. STANDARD B18.2.1;STANDARD THREAD LENGTH;THREAD: UNC-2A;MATERIAL: STEEL, SAE GRADE 5;FINISH: PLAIN;</t>
  </si>
  <si>
    <t>https://www.mcmaster.com/92865A800/</t>
  </si>
  <si>
    <t>HHS .625-11UNC-2A X 2"LG.</t>
  </si>
  <si>
    <t>SPECIAL BIN MIN ORDERING SYSTEM. SEE BUYER FOR DETAILS. SCREW, CAP - HEXAGON HEAD, .625-11UNC-2A X 2.000"LG. AMER. STANDARD B18.2.1;STANDARD THREAD LENGTH;THREAD: UNC-2A;MATERIAL: STEEL, SAE GRADE 5;FINISH: PLAIN;</t>
  </si>
  <si>
    <t>https://www.mcmaster.com/92190A163/</t>
  </si>
  <si>
    <t>CP-611-314-616</t>
  </si>
  <si>
    <t>HHS .625-11UNC-2A X 2.25"LG.</t>
  </si>
  <si>
    <t>SPECIAL BIN MIN ORDERING SYSTEM. SEE BUYER FOR DETAILS. SCREW, CAP - HEXAGON HEAD, .625-11UNC-2A X 2.250"LG. AMER. STANDARD B18.2.1;STANDARD THREAD LENGTH;THREAD: UNC-2A;MATERIAL: STEEL, SAE GRADE 5;FINISH: PLAIN;</t>
  </si>
  <si>
    <t>https://www.grainger.com/product/Hex-Head-Cap-Screw-Steel-22TA18</t>
  </si>
  <si>
    <t>CP-611-314-618</t>
  </si>
  <si>
    <t>HHS .625 X 2.75LG.USE J92017</t>
  </si>
  <si>
    <t>SPECIAL BIN MIN ORDERING SYSTEM. SEE BUYER FOR DETAILS. SCREW, CAP - HEXAGON HEAD, .625-11UNC-2A X 2.750"LG. AMER. STANDARD B18.2.1;STANDARD THREAD LENGTH;THREAD: UNC-2A;MATERIAL: STEEL, SAE GRADE 5;FINISH: PLAIN;</t>
  </si>
  <si>
    <t>https://www.grainger.com/product/Hex-Head-Cap-Screw-Steel-22TA20</t>
  </si>
  <si>
    <t>CP-611-327-422</t>
  </si>
  <si>
    <t>HHS .312-18UNC-2A X 1"LG.</t>
  </si>
  <si>
    <t>HEX HD CAP SCREW 5/16-18UNC-2A X 1"LG. AMER. STD. B18.2.1;STD. THREAD LENGTH;MATERIAL-STAINLESS STEEL AISI TYPE 316;FINISH: NOT PLATED;</t>
  </si>
  <si>
    <t>MSC</t>
  </si>
  <si>
    <t>https://www.mscdirect.com/product/details/67576447</t>
  </si>
  <si>
    <t>CP-611-327-550</t>
  </si>
  <si>
    <t>CAPSCREW HEX .500-13X1.750</t>
  </si>
  <si>
    <t>CAP SCREW HEX HEAD .500-13 X 1.750 LG;AMERICAN STANDARD B18.2.1;STANDARD THREAD LENGTH, THREAD: UNC-2A;MATERIAL: STAINLESS STEEL AISI TYPE 316;FINISH: NOT PLATED;</t>
  </si>
  <si>
    <t>https://www.mscdirect.com/product/details/61843025</t>
  </si>
  <si>
    <t>CP-611-345-616</t>
  </si>
  <si>
    <t>CAPSCREW HH .625-11UNCX2.25LG</t>
  </si>
  <si>
    <t>HEX HEAD CAPSCREW;.625 DIA.-11UNC-2A X 2.250" LG. (STD THREAD LENGTH);DIMENSIONS TO CONFORM TO ANSI STANDARD B18.2.1;MAT'L:  BRASS (NOT PLATED);</t>
  </si>
  <si>
    <t>Hi-Line</t>
  </si>
  <si>
    <t>https://hi-line.com/copy-of-5-8-11-x-2-1-2-cap-screw-brass/</t>
  </si>
  <si>
    <t>CP-615-106-461</t>
  </si>
  <si>
    <t>SCREW SOC HD .375-16X.625</t>
  </si>
  <si>
    <t>HEX SOCKET HD CAP SCREW .375-16X.625;1960 INDUSTRY STANDARD;STANDARD THREAD LENGTH;STAINLESS STEEL TYPE 316;NOT PLATED;</t>
  </si>
  <si>
    <t>https://www.mscdirect.com/product/details/85560415</t>
  </si>
  <si>
    <t>CP-617-017-468</t>
  </si>
  <si>
    <t>SETSCREW</t>
  </si>
  <si>
    <t>SET SCREW;</t>
  </si>
  <si>
    <t>https://www.mcmaster.com/91375A626/</t>
  </si>
  <si>
    <t>CP-617-017-548</t>
  </si>
  <si>
    <t>SET SCREW .5-13UNC-3A X 1.5LG.</t>
  </si>
  <si>
    <t>SPECIAL BIN MIN ORDERING SYSTEM. SEE BUYER FOR DETAILS. SCREW, SET HEX SOCKET, .500-13UNC-3A X 1.500LG. CUP POINT HDLESS;ALLOY STEEL;NOT PLATED;UNC-3A;ANSI B18.3;</t>
  </si>
  <si>
    <t>https://www.mcmaster.com/91375A716/</t>
  </si>
  <si>
    <t>CP-617-039-369</t>
  </si>
  <si>
    <t>SCREW SET, .25-20UNC-3AX.375LG</t>
  </si>
  <si>
    <t>SPECIAL BIN MIN ORDERING SYSTEM. SEE BUYER FOR DETAILS. SCREW SET, HEX SOCKET, .250-20UNC-3A X .375" LG. HEADLESS CUP POINT;PER ASA STD B18.3;STAINLESS STEEL AISI 316 NOT PLATED.</t>
  </si>
  <si>
    <t>mcmaster</t>
  </si>
  <si>
    <t>CP-617-511-654</t>
  </si>
  <si>
    <t>CAPSCREW,CB .750X2.250LG</t>
  </si>
  <si>
    <t>CAPSCREW, COUNTER-BORE (1960 SERIES);.750 UNC-3A X 2.250 LG. MAT'L:  STEEL, SAE 8637, NOT PLATED;FERRY CAP AND SET SCREW CO.</t>
  </si>
  <si>
    <t>https://www.mcmaster.com/91251A845/</t>
  </si>
  <si>
    <t>CP-617-511-689</t>
  </si>
  <si>
    <t>C'SCREW, .875 X 2.25"LG.</t>
  </si>
  <si>
    <t>SPECIAL BIN MIN ORDERING SYSTEM. SEE BUYER FOR DETAILS. SCREW, CAP COUNTERBORE, .875 X 2.25"LG. (1960 SERIES);STEEL SAE 8637;UNC-3A;NOT PLATED;</t>
  </si>
  <si>
    <t>https://www.mcmaster.com/91251A881/</t>
  </si>
  <si>
    <t>CP-617-511-690</t>
  </si>
  <si>
    <t>C'SCREW, .875 X 2.5"LG.</t>
  </si>
  <si>
    <t>SPECIAL BIN MIN ORDERING SYSTEM. SEE BUYER FOR DETAILS. SCREW, CAP COUNTERBORE, .875 X 2.5"LG. (1960 SERIES);STEEL SAE 8637;UNC-3A;NOT PLATED;</t>
  </si>
  <si>
    <t>https://www.mcmaster.com/91251A882/</t>
  </si>
  <si>
    <t>CP-617-511-692</t>
  </si>
  <si>
    <t>C'SCREW, .875 X 3"LG.</t>
  </si>
  <si>
    <t>SPECIAL BIN MIN ORDERING SYSTEM. SEE BUYER FOR DETAILS. SCREW, CAP COUNTERBORE, .875 X 3"LG. (1960 SERIES);STEEL SAE 8637;UNC-3A;NOT PLATED;</t>
  </si>
  <si>
    <t>https://www.mcmaster.com/91251A884/</t>
  </si>
  <si>
    <t>CP-617-511-694</t>
  </si>
  <si>
    <t>C'SCREW, .875 X 3.5"LG.</t>
  </si>
  <si>
    <t>SPECIAL BIN MIN ORDERING SYSTEM. SEE BUYER FOR DETAILS. SCREW, CAP COUNTERBORE, .875 X 3.5"LG. (1960 SERIES);STEEL SAE 8637;UNC-3A;NOT PLATED;</t>
  </si>
  <si>
    <t>https://www.mcmaster.com/91251A886/</t>
  </si>
  <si>
    <t>CP-617-511-700</t>
  </si>
  <si>
    <t>C'SCREW, .875 X 5"LG.</t>
  </si>
  <si>
    <t>SPECIAL BIN MIN ORDERING SYSTEM. SEE BUYER FOR DETAILS. SCREW, CAP COUNTERBORE, .875 X 5"LG. (1960 SERIES);STEEL SAE 8637;UNC-3A;NOT PLATED;</t>
  </si>
  <si>
    <t>https://www.mcmaster.com/91251A892/</t>
  </si>
  <si>
    <t>CP-617-511-723</t>
  </si>
  <si>
    <t>CAPSCREW,CB 1.00X2.250LG</t>
  </si>
  <si>
    <t>CAPSCREW, COUNTER-BORE (1960 SERIES);1.000 UNC-3A X 2.250 LG. MAT'L:  STEEL, SAE 8637, NOT PLATED;FERRY CAP AND SET SCREW CO.</t>
  </si>
  <si>
    <t>https://www.mcmaster.com/91251A913/</t>
  </si>
  <si>
    <t>CP-631-081-108</t>
  </si>
  <si>
    <t>NUT .500-13 UNC-2B</t>
  </si>
  <si>
    <t>*** NUT, HEX. HEAVY BRASS, .500-13;THREADS - UNC-2B;</t>
  </si>
  <si>
    <t>https://www.mcmaster.com/92680A625</t>
  </si>
  <si>
    <t>CP-651-001-372</t>
  </si>
  <si>
    <t>WASHER,.688 X 1.75 X .134TK.</t>
  </si>
  <si>
    <t>WASHER PLAIN ROUND STEEL;NOT PLATED;.688 I.D. X 1.75 O.D. X .134 THICK.</t>
  </si>
  <si>
    <t>https://www.mcmaster.com/98026a117/</t>
  </si>
  <si>
    <t>SPIROL PIN</t>
  </si>
  <si>
    <t>SPIROL PIN MED. DUTY 1/4" DIA. X 1/2" LONG;OK TO SUPPLY HEAVY DUTY;OILED FINISH SS #302;</t>
  </si>
  <si>
    <t>https://www.mcmaster.com/95765A512/</t>
  </si>
  <si>
    <t>CP-673-151-281</t>
  </si>
  <si>
    <t>RING BRG HSG</t>
  </si>
  <si>
    <t>RETAINING RING 5000-281 STACKED &amp;;WRAPPED WITH AC PART NO ON EACH BOX;</t>
  </si>
  <si>
    <t>https://www.americanring.com/products/snap-ring.aspx?item=5000-281&amp;units=metric</t>
  </si>
  <si>
    <t>CP-673-165-215</t>
  </si>
  <si>
    <t>RET.RING, 2.156 SHAFT DIA.</t>
  </si>
  <si>
    <t>RING, RETAINING, 2.156" SHAFT DIA. BASIC EXTERNAL SERIES;CARBON SPRING STEEL;SAE 1060-1090;OIL DIPPED;</t>
  </si>
  <si>
    <t>https://www.huyett.com/sh-215</t>
  </si>
  <si>
    <t>CP-673-201-168</t>
  </si>
  <si>
    <t>RET. RING, 1-11/16" SHAFT DIA.</t>
  </si>
  <si>
    <t>WRAPPED WITH AC PART NO ON EACH BOX;1-11/16" DIA.SHAFT SIZE. BASIC EXTERNAL RETAINING RING;STAINLESS STEEL AISI 420;</t>
  </si>
  <si>
    <t>huyett</t>
  </si>
  <si>
    <t>https://www.huyett.com/sh-168-ss</t>
  </si>
  <si>
    <t>CP-673-201-243</t>
  </si>
  <si>
    <t>RET. RING, 2-7/16" SHAFT DIA.</t>
  </si>
  <si>
    <t>WRAPPED WITH AC PART NO ON EACH BOX;2-7/16" DIA.SHAFT SIZE. BASIC EXTERNAL RETAINING RING;STAINLESS STEEL AISI 420;</t>
  </si>
  <si>
    <t>https://www.huyett.com/sh-243-ss</t>
  </si>
  <si>
    <t>CP-673-263-072</t>
  </si>
  <si>
    <t>EXT.RET.RING, 4.5"SHAFT DIA.</t>
  </si>
  <si>
    <t>EXTERNAL RETAINING RING;4.5" DIAMETER SHAFT;302 STAINLESS STEEL;</t>
  </si>
  <si>
    <t>https://www.mscdirect.com/product/details/70232210</t>
  </si>
  <si>
    <t>CP-677-103-183</t>
  </si>
  <si>
    <t>KEY, .312"SQ. X 2"LG.</t>
  </si>
  <si>
    <t>KEY, SQ PLAIN PARALLEL BOTH ENDS SQUARE, A-C STANDARD 640 CRS;PER ANSI B17.1   .312" SQ. X 2.000" LG. UNDERSIZE;</t>
  </si>
  <si>
    <t>18-8 Stainless Steel Machine Key, 5/16" x 5/16", 2" Long, Undersized | McMaster-Carr</t>
  </si>
  <si>
    <t>CP-677-103-238</t>
  </si>
  <si>
    <t>KEY, .375"SQ. X 3.25"LG.</t>
  </si>
  <si>
    <t>C.R.S. KEY-TO CONFORM TO USAS B17.1-1967;3/8" SQ. X 3-1/4" LG. SQ. PLAIN PARALLEL;</t>
  </si>
  <si>
    <t>https://www.huyett.com/3003750375-3250</t>
  </si>
  <si>
    <t>CP-711-055-041</t>
  </si>
  <si>
    <t>CPLG, REDUCM.I.150#STEAMBANDED</t>
  </si>
  <si>
    <t>https://www.buyfittingsonline.com/pipe-fittings-black-1-1-4-in-x-1-in-reducing-coupling-150-lb-npt-threaded-malleable-iron-ul/</t>
  </si>
  <si>
    <t>CP-711-087-013</t>
  </si>
  <si>
    <t>BUSHING, M.I. OUTSIDE HEX.</t>
  </si>
  <si>
    <t>BUSHING, SCREWED PIPE;ANSI B16.14;NPTE/NPTI: .375 X .250;HEXAGON HEAD: OUTSIDE;MALLEABLE IRON 150# BLACK;</t>
  </si>
  <si>
    <t>https://www.buyfittingsonline.com/pipe-fittings-merchant-steel-threaded-galvanized-hex-bushings-150-lb-psi-3-8-in-x-1-4-in-asme-b1614/</t>
  </si>
  <si>
    <t>CP-711-509-006</t>
  </si>
  <si>
    <t>PLUG, PIPE SCREWED.</t>
  </si>
  <si>
    <t>.750" NPTE;PLUG, PIPE SCREWED;PER ANSI B16.14;SQUARE HEAD SOLID TYPE;CARBON STEEL;NOT PLATED;</t>
  </si>
  <si>
    <t>https://www.huyett.com/pp-0750a14-lcbo</t>
  </si>
  <si>
    <t>CP-711-521-008</t>
  </si>
  <si>
    <t>PIPEPLUG, 316 S.S. SQ HD SOLID</t>
  </si>
  <si>
    <t>1" NPTE;SCREWED PIPE PLUG;PER AMER STD B16.14;SQUARE HEAD, SOLID TYPE;STAINLESS STEEL TYPE 316;NOT PLATED;</t>
  </si>
  <si>
    <t>https://www.mscdirect.com/product/details/36902153</t>
  </si>
  <si>
    <t>CP-711-523-002</t>
  </si>
  <si>
    <t>PIPE PLUG, BRASS,SQ HEAD SOLID</t>
  </si>
  <si>
    <t>1/4" NPTE X .375" WIDTH ACROSS FLATS MAX. SCREWED PIPE PLUG;PER AMER STD B16.15;SQUARE HEAD, SOLID TYPE;BRASS, ROUGH;</t>
  </si>
  <si>
    <t>https://www.buyfittingsonline.com/pipe-fittings-brass-lead-free-1-4-in-square-head-solid-plug-125-psi-npt-thread/</t>
  </si>
  <si>
    <t>CP-711-523-003</t>
  </si>
  <si>
    <t>PIPE PLUG,BRASS SQ HEAD SOLID</t>
  </si>
  <si>
    <t>3/8" NPTE X .438" WIDTH ACROSS FLATS MAX. SCREWED PIPE PLUG;PER AMER STD B16.15;SQUARE HEAD, SOLID TYPE;BRASS, ROUGH;</t>
  </si>
  <si>
    <t>https://www.buyfittingsonline.com/pipe-fittings-brass-lead-free-3-8-in-square-head-solid-plug-125-psi-npt-thread/</t>
  </si>
  <si>
    <t>CP-711-523-006</t>
  </si>
  <si>
    <t>3/4" NPTE X .625" WIDTH ACROSS FLATS MAX. SCREWED PIPE PLUG;PER AMER STD B16.15;SQUARE HEAD, SOLID TYPE;BRASS, ROUGH;</t>
  </si>
  <si>
    <t>https://www.buyfittingsonline.com/pipe-fittings-brass-lead-free-3-4-in-square-head-cored-plug-125-psi-npt-thread/</t>
  </si>
  <si>
    <t>CP-711-523-008</t>
  </si>
  <si>
    <t>1" NPTE X .813" WIDTH ACROSS FLATS MAX. SCREWED PIPE PLUG;PER AMER STD B16.15;SQUARE HEAD, SOLID TYPE;BRASS, ROUGH;</t>
  </si>
  <si>
    <t>https://www.buyfittingsonline.com/pipe-fittings-brass-lead-free-1-in-square-head-cored-plug-125-psi-npt-thread/</t>
  </si>
  <si>
    <t>CP-711-527-004</t>
  </si>
  <si>
    <t>PIPE PLUG 1/2"NPTE BRASS CORED</t>
  </si>
  <si>
    <t>SCREWED PIPE PLUG;1/2" NPTE, PER AMER STD B16.15;SQUARE HEAD, CORED TYPE;MAT'L:  BRASS, ROUGH;</t>
  </si>
  <si>
    <t>https://www.mcmaster.com/4429K314/</t>
  </si>
  <si>
    <t>CP-733-105-022</t>
  </si>
  <si>
    <t>FITTING, 1/8" X 11/16 LG.</t>
  </si>
  <si>
    <t>1/8" NPTE;SCREWED LUBRICATING FITTING;STRAIGHT TYPE, SURFACE BALL CHECK;11/16" OVERALL LENGTH;STEEL, CASE HARDENED;ZINC PLATED;</t>
  </si>
  <si>
    <t>https://hi-line.com/1-8-npt-straight-11-16-long-grease-fittings/</t>
  </si>
  <si>
    <t>CP-751-531-096</t>
  </si>
  <si>
    <t>O-RING, SIZE 228</t>
  </si>
  <si>
    <t>SIZE NO. 228, 2.250" ID X 2.500" OD X .125" THK (NOM. SIZE);NITRILE POLYMER, 70 DURO, COMPOUND NO. 8307.  (VENDOR CHANGED;COMPOUND NO. FROM NO. 7507 SHOWN ON DRAWING -- PER ECO 15939);NOTE: INDIVIDUAL CONTAINER SUCH AS CARTON, ROLL OR BAG SUPPLIED;      BY VENDOR REQUIRES A LABEL OR TAG INDICATING MANUFACTURER,       MANUFACTURER'S PART #, DATE OF MANUFACTURE, COMPOUND #;      AND B&amp;G PART#.</t>
  </si>
  <si>
    <t>CP-751-531-264</t>
  </si>
  <si>
    <t>O-RING, SIZE 437</t>
  </si>
  <si>
    <t>"O" RING 6.000 ID X 6.500 OD X .250;#829-70  -437 BUNA 400;NOTE: INDIVIDUAL CONTAINER SUCH AS CARTON, ROLL OR BAG SUPPLIED BY;      VENDOR WITH DATE OF MANUFACTURE, COMPOUND NO.&amp; B&amp;G P/N.       DO NOT INCLUDE MANUFACTURER, MANUFACTURER'S PART NO., INSIGNIA;      OR OTHER IDENTIFYING MARKS.</t>
  </si>
  <si>
    <t>CP-751-531-268</t>
  </si>
  <si>
    <t>O-RING, SIZE 441</t>
  </si>
  <si>
    <t>"O" RING;NOTE: INDIVIDUAL CONTAINER SUCH AS CARTON, ROLL OR BAG SUPPLIED BY;      VENDOR WITH DATE OF MANUFACTURE, COMPOUND NO.&amp; B&amp;G P/N.       DO NOT INCLUDE MANUFACTURER, MANUFACTURER'S PART NO., INSIGNIA;      OR OTHER IDENTIFYING MARKS.</t>
  </si>
  <si>
    <t>CP-751-531-270</t>
  </si>
  <si>
    <t>O-RING, SIZE 443</t>
  </si>
  <si>
    <t>"O" RING 7.500 ID X 8.00 OD. X .250 DIA. SYN RUBBER COMPOUND 829-70;NOTE: INDIVIDUAL CONTAINER SUCH AS CARTON, ROLL OR BAG SUPPLIED BY;      VENDOR WITH DATE OF MANUFACTURE, COMPOUND NO.&amp; B&amp;G P/N.       DO NOT INCLUDE MANUFACTURER, MANUFACTURER'S PART NO., INSIGNIA;      OR OTHER IDENTIFYING MARKS.</t>
  </si>
  <si>
    <t>CP-751-531-442</t>
  </si>
  <si>
    <t>O-RING, SIZE 142</t>
  </si>
  <si>
    <t>"O" RING, SYNTHETIC RUBBER COMPOUND #829-70;.094 X 2.375 ID X 2.562 OD NOMINAL SIZE 142;NOTE: INDIVIDUAL CONTAINER SUCH AS CARTON, ROLL OR BAG SUPPLIED BY;      VENDOR WITH DATE OF MANUFACTURE, COMPOUND NO.&amp; B&amp;G P/N.       DO NOT INCLUDE MANUFACTURER, MANUFACTURER'S PART NO., INSIGNIA;      OR OTHER IDENTIFYING MARKS.</t>
  </si>
  <si>
    <t>CP-751-531-939</t>
  </si>
  <si>
    <t>O-RING, SIZE 361</t>
  </si>
  <si>
    <t>O-RING - BUNA "N", .125 X 6.750 ID X 7.000 OD. NOTE: INDIVIDUAL CONTAINER SUCH AS CARTON, ROLL OR BAG SUPPLIED BY;      VENDOR WITH DATE OF MANUFACTURE, COMPOUND NO.&amp; B&amp;G P/N.       DO NOT INCLUDE MANUFACTURER, MANUFACTURER'S PART NO., INSIGNIA;      OR OTHER IDENTIFYING MARKS.</t>
  </si>
  <si>
    <t>CP-751-531-940</t>
  </si>
  <si>
    <t>O-RING, SIZE 362</t>
  </si>
  <si>
    <t>O-RING  1/8" W X 7.0 ID X 7.25" OD;SYNTHETIC RUBBER COMPOUND;NOTE: INDIVIDUAL CONTAINER SUCH AS CARTON, ROLL OR BAG SUPPLIED BY;      VENDOR WITH DATE OF MANUFACTURE, COMPOUND NO.&amp; B&amp;G P/N.       DO NOT INCLUDE MANUFACTURER, MANUFACTURER'S PART NO., INSIGNIA;      OR OTHER IDENTIFYING MARKS.</t>
  </si>
  <si>
    <t>CP-751-531-944</t>
  </si>
  <si>
    <t>O-RING, SIZE 266</t>
  </si>
  <si>
    <t>O-RING;NOTE: INDIVIDUAL CONTAINER SUCH AS CARTON, ROLL OR BAG SUPPLIED BY;      VENDOR WITH DATE OF MANUFACTURE, COMPOUND NO.&amp; B&amp;G P/N.       DO NOT INCLUDE MANUFACTURER, MANUFACTURER'S PART NO., INSIGNIA;      OR OTHER IDENTIFYING MARKS.</t>
  </si>
  <si>
    <t>CP-751-531-949</t>
  </si>
  <si>
    <t>O-RING, SIZE 271</t>
  </si>
  <si>
    <t>O-RING, SYNTHETIC RUBBER COMPOUND 829-70, NOMINAL SIZE;NOTE: INDIVIDUAL CONTAINER SUCH AS CARTON, ROLL OR BAG SUPPLIED BY;      VENDOR WITH DATE OF MANUFACTURE, COMPOUND NO.&amp; B&amp;G P/N.       DO NOT INCLUDE MANUFACTURER, MANUFACTURER'S PART NO., INSIGNIA;      OR OTHER IDENTIFYING MARKS.</t>
  </si>
  <si>
    <t>CP-751-531-960</t>
  </si>
  <si>
    <t>O-RING, SIZE 234</t>
  </si>
  <si>
    <t>SIZE NO. 234, 3.000" ID X 3.250" OD X .125" THK (NOM. SIZE);NITRILE POLYMER, 70 DURO, COMPOUND NO. 8307.  (VENDOR CHANGED;COMPOUND NO. FROM NO. 7507 SHOWN ON DRAWING -- PER ECO 15939);NOTE: INDIVIDUAL CONTAINER SUCH AS CARTON, ROLL OR BAG SUPPLIED;      BY VENDOR REQUIRES A LABEL OR TAG INDICATING MANUFACTURER,       MANUFACTURER'S PART #, DATE OF MANUFACTURE, COMPOUND #;      AND B&amp;G PART#.</t>
  </si>
  <si>
    <t>CP-751-531-991</t>
  </si>
  <si>
    <t>O-RING, SIZE 269</t>
  </si>
  <si>
    <t>O-RING, BUNA-N   .125 WD X 8.750" ID X 9.0" OD. NOTE: INDIVIDUAL CONTAINER SUCH AS CARTON, ROLL OR BAG SUPPLIED BY;      VENDOR WITH DATE OF MANUFACTURE, COMPOUND NO.&amp; B&amp;G P/N.       DO NOT INCLUDE MANUFACTURER, MANUFACTURER'S PART NO., INSIGNIA;      OR OTHER IDENTIFYING MARKS.</t>
  </si>
  <si>
    <t>CP-751-561-028</t>
  </si>
  <si>
    <t>O-RING, SIZE 250</t>
  </si>
  <si>
    <t>"O" RING GASKET, HYD. AN6230-B-28, -250 BUNA;1/8" WIDE X 5" ID X 5 1/4" OD SYNTHETIC;RUBBER, PER MIL. P-5516A, LATEST ISSUE;OKAY TO SUBSTITUTE BUNA-N COMPOUND. N-304-75;NOTE: INDIVIDUAL CONTAINER SUCH AS CARTON, ROLL OR BAG SUPPLIED BY;      VENDOR WITH DATE OF MANUFACTURE, COMPOUND NO.&amp; B&amp;G P/N.       DO NOT INCLUDE MANUFACTURER, MANUFACTURER'S PART NO., INSIGNIA;      OR OTHER IDENTIFYING MARKS.</t>
  </si>
  <si>
    <t>LOCKNUT, BRG.</t>
  </si>
  <si>
    <t>LOCKNUTS, FOR;BALL AND ROLLER BEARING;PER AMER STD B3-9;CARBON STEEL;ASA NO. N-06;</t>
  </si>
  <si>
    <t>Bearing Retaining Lock Nut 1.173"-18 x .416" Steel (huyett.com)</t>
  </si>
  <si>
    <t>LOCKNUTS, FOR;BALL AND ROLLER BEARING;PER AMER STD B3-9;CARBON STEEL;ASA NO. N-08;</t>
  </si>
  <si>
    <t>Bearing Retaining Lock Nut 1.563"-18 x .448" Steel (huyett.com)</t>
  </si>
  <si>
    <t>DJ0026</t>
  </si>
  <si>
    <t>CAPSCREW HEX HD1/4-28NFX5/8LG</t>
  </si>
  <si>
    <t>CAPSCRW, HEX HD. 1/4" DIA. 28 UNF-2A X 5/8" LG. SELF LOCKING TYPE 302 STAINLESS STEEL;</t>
  </si>
  <si>
    <t>Super-Corrosion-Resistant 316 Stainless Steel Hex Head Screw, 1/4"-28 Thread Size, 5/8" Long | McMaster-Carr</t>
  </si>
  <si>
    <t>DJ0114</t>
  </si>
  <si>
    <t>SCREW HEX 1/2X1-3/4USE P45110</t>
  </si>
  <si>
    <t>CAPSCREW, HEX HD. 1/2" DIA 13 UNC 2A X 1-3/4" LG. DIMENSIONS TO CONFORM TO ANSI STANDARD B18.2.1;LOW CARBON STEEL, SAE GRADE 2, ZINC PLATED.</t>
  </si>
  <si>
    <t>MFSupply</t>
  </si>
  <si>
    <t>https://www.mfsupply.com/1-2-13-X-1-3-4-Hex-Head-Cap-Screw-Steel-Zinc-p/hh1-fslash-2cx1.75.htm</t>
  </si>
  <si>
    <t>DJ0203</t>
  </si>
  <si>
    <t>SET SCR SKT HD 1/4-28NFX3/16LG</t>
  </si>
  <si>
    <t>SET SCREW,SKT. HD.(HEX) 1/4" DIA. 28UNF-2A X 3/16";LG. NYLOK CUP POINT TYPE 302 STAINLESS STEEL.</t>
  </si>
  <si>
    <t>Accu-Components</t>
  </si>
  <si>
    <t>https://accu-components.com/us/imperial-cup-point-setgrub-screws/31148-SSU-1-4-28-3-16-A2</t>
  </si>
  <si>
    <t>DJ0213</t>
  </si>
  <si>
    <t>MACH SCR HEX HD#12-28NFX5/8LG</t>
  </si>
  <si>
    <t>MACHINE SCREW HEX HD. #12 DIA. 28UNF-2A X 5/8"LG. SELF LOCKING TYPE 302 STAINLESS STEEL.</t>
  </si>
  <si>
    <t>https://www1.mcmaster.com/92314A293/</t>
  </si>
  <si>
    <t>DJ0225</t>
  </si>
  <si>
    <t>NUT HEX STD    1/4-28UNF-2B</t>
  </si>
  <si>
    <t>NUT, HEX: STD. HEXAGON, 1/4" - 28 UNF-2B, SELF LOCKING TYPE 302 STAINLESS STEEL;</t>
  </si>
  <si>
    <t>https://www.mcmaster.com/91845A105/</t>
  </si>
  <si>
    <t>DJ0245</t>
  </si>
  <si>
    <t>NUT, HEX STD   1/4-20UNC-2B</t>
  </si>
  <si>
    <t>HEX NUT, STD. HEXAGON, 1/4" - 20UNC-2B;FINISHED TYPE 302 STAINLESS STEEL;</t>
  </si>
  <si>
    <t>https://www.mcmaster.com/91845A029/</t>
  </si>
  <si>
    <t>DJ0267</t>
  </si>
  <si>
    <t>LOCKWASHER IMP 7/32IDX3/4OD</t>
  </si>
  <si>
    <t>LOCKWASHER, IMPELLER; STAINLESS STEEL,</t>
  </si>
  <si>
    <t>DJ0444</t>
  </si>
  <si>
    <t>PIN 1/4DIAX1-1/8LG</t>
  </si>
  <si>
    <t>1/4"DIA.X1-1/8"LG., LOW CARBON  STEEL, TYPE U,  ZINC PLATED.</t>
  </si>
  <si>
    <t>https://www1.mcmaster.com/97245A238/</t>
  </si>
  <si>
    <t>DJ0479</t>
  </si>
  <si>
    <t>STUD PUMP CASE 1/2-13NCX1.937</t>
  </si>
  <si>
    <t>STUD, PUMP CASE, 1/2" DIA - 13 UNC - 2A X 1-15/16";LG. C.R. STEEL;PER PRINT;</t>
  </si>
  <si>
    <t>1/2"-13 Thread Size, Steel, Fully Threaded Stud - 26LP50|U22551.050.0200 - Grainger</t>
  </si>
  <si>
    <t>DP0586</t>
  </si>
  <si>
    <t>KEY            3/16SQX1-3/8LG</t>
  </si>
  <si>
    <t>TYPE 304 STAINLESS STEEL BAR, ANNEALED COLD FINISHED GROUND, ASTM A276, TP304;3/16" SQ. X 1-3/8" LG.</t>
  </si>
  <si>
    <t>18-8 Stainless Steel Machine Key, 3/16" x 3/16", 1-1/2" Long, Undersized | McMaster-Carr</t>
  </si>
  <si>
    <t>DP0587</t>
  </si>
  <si>
    <t>KEY            1/4SQX1-1/2LG</t>
  </si>
  <si>
    <t>KEY, TYPE 304 STAINLESS STEEL BAR, ANNEALED COLD FINISHED GROUND, ASTM A276, TP304;1/4" SQ. X 1-1/2" LG.</t>
  </si>
  <si>
    <t>18-8 Stainless Steel Machine Key, 1/4" x 1/4", 1-1/2" Long, Oversized | McMaster-Carr</t>
  </si>
  <si>
    <t>F16600</t>
  </si>
  <si>
    <t>NUT,PACKING    3/4-16UNF-2A</t>
  </si>
  <si>
    <t>3/4" HEX, 3/4"-16UNF-2A THREAD, ASTM B16 ALLOY C36000 BRASS, HALF HARD.</t>
  </si>
  <si>
    <t>grainer</t>
  </si>
  <si>
    <t>https://www.grainger.com/product/Hex-Nut-3-4-16-Thread-1WE38</t>
  </si>
  <si>
    <t>CAPSCREW,HEX HD3/8-16UNCX1-3/4</t>
  </si>
  <si>
    <t>CAPSCREW, HEX. HEAD; 3/8" DIA;16 UNC-2A X 1-3/4" LG. STEEL;DIMENSIONS TO CONFORM TO ANSI STANDARD B18.2.1;LOW CARBON STEEL,SAE GRADE 2. ZINC PLATED;</t>
  </si>
  <si>
    <t>https://www.mcmaster.com/91309A630/</t>
  </si>
  <si>
    <t>KEY SHAFT</t>
  </si>
  <si>
    <t>KEY: SHAFT 3/16"TK. X 3/4"NOM. SIZE;MILD CARBON-STEEL KEY STOCK, SAE-1035;</t>
  </si>
  <si>
    <t>Machine Key 3/16 x 3/16 x 3/4 Form B Carbon Steel Undersize (huyett.com)</t>
  </si>
  <si>
    <t>H32500</t>
  </si>
  <si>
    <t>KEY, SHAFT; 3/16" TK. X 3/4" NOM. SIZE; 18-8;STAINLESS STEEL KEY STOCK #302; #303, OR #304;</t>
  </si>
  <si>
    <t>Machine Key 3/16 x 3/16 x 3/4 Form B SS 300 Undersize (huyett.com)</t>
  </si>
  <si>
    <t>H32600</t>
  </si>
  <si>
    <t>KEY, SHAFT;1/4" TK. X 1" NOM. SIZE; MILD CARBON-STEEL KEY STOCK, SAE-1035;</t>
  </si>
  <si>
    <t>Machine Key, 1008-1045 Carbon Steel, 1/4" x 1/4", 1" Long, Oversized | McMaster-Carr</t>
  </si>
  <si>
    <t>H32700</t>
  </si>
  <si>
    <t>KEY; SHAFT: 1/4" TK. X 1" NOM. SIZE;18-8 STAINLESS - STEEL;KEY STOCK, TYPE#303;</t>
  </si>
  <si>
    <t>Machine Key 1/4 x 1/4 x 1 Form B SS 300 Undersize (huyett.com)</t>
  </si>
  <si>
    <t>J04834</t>
  </si>
  <si>
    <t>PIPE PLUG 1/4" NPT</t>
  </si>
  <si>
    <t>PLUG,SOCKET HD. HEX. SOCKET PLUG - 1/4" - 18 NPT BRASS;C38500 BRASS OR EQUIVALENTT;</t>
  </si>
  <si>
    <t>https://www.mcmaster.com/products/pipe-plugs/thread-type~npt/pipe-size~1-4/system-of-measurement~inch/drive-style~external-hex/material~brass-2/material~brass-1/fitting-type~plug/</t>
  </si>
  <si>
    <t>LOCKWASHER     5/8 BOLT SIZE</t>
  </si>
  <si>
    <t>J32830</t>
  </si>
  <si>
    <t>KEY,SHAFT      3/8SQ X 2"LG</t>
  </si>
  <si>
    <t>KEY,SHAFT: CARBON STEEL BAR STOCK,COLD DRAWN. ASTM A108 GR. C1018. 3/8" SQ. X 2" LG.</t>
  </si>
  <si>
    <t>Machine Key 3/8 x 3/8 x 2 Form B Carbon Steel Undersize (huyett.com)</t>
  </si>
  <si>
    <t>J89428</t>
  </si>
  <si>
    <t>BUSHING,HEX    1/2 NPTX 1/4NPT</t>
  </si>
  <si>
    <t>BUSHING PIPE 'HEX TYPE', 1/2" NPT X 1/4" NPT;STEEL.</t>
  </si>
  <si>
    <t>https://www.buyfittingsonline.com/pipe-fittings-stainless-steel-1-2-in-x-1-4-in-hex-bushing-304-ss-threaded-npt-9-cb/</t>
  </si>
  <si>
    <t>SET SCR SKT HD  1/4-20UNCX5/16</t>
  </si>
  <si>
    <t>HEX SOCKET, CUP POINT, BLACK ALLOY ST'L;1/4" DIA.-20UNC-3A X 5/16" LG.</t>
  </si>
  <si>
    <t>Hex Socket Set Screw 1/4-20 x 5/16 BO (huyett.com)</t>
  </si>
  <si>
    <t>J92298</t>
  </si>
  <si>
    <t>CAPSCREW HEX HD 3/4-10NCX1-1/2</t>
  </si>
  <si>
    <t>3/4" DIA. - 10UNC-2AX1-1/2" LG. ASTM-A449/SAE-J429 GRADE 5, STEEL.</t>
  </si>
  <si>
    <t>https://www.grainger.com/product/Hex-Head-Cap-Screw-Steel-22TC87</t>
  </si>
  <si>
    <t>LOCKNUT BRG    N-14</t>
  </si>
  <si>
    <t>LOCKNUT, BRG. N-14 (FOR BALL BRG. SIZE 14) STEEL.</t>
  </si>
  <si>
    <t>https://www.huyett.com/n-14</t>
  </si>
  <si>
    <t>LOCKNUT BRG    N-12</t>
  </si>
  <si>
    <t>LOCKNUT BRG. N-12 FOR BALL AND ROLLER BEARINGS;2.360"O.D. OF THREADS-18USF THREADS PER INCH;BEARING SIZE 12,STEEL.</t>
  </si>
  <si>
    <t>https://www.huyett.com/nh-12</t>
  </si>
  <si>
    <t>J93170</t>
  </si>
  <si>
    <t>KEY,IMPELLER   1/4X3/8X2"LG</t>
  </si>
  <si>
    <t>KEY,IMPELLER: CARBON STEEL BAR STOCK, COLD DRAWN. ASTM A108 GR. C1018. 1/4" X 3/8"W. X 2" LG.</t>
  </si>
  <si>
    <t>https://www.huyett.com/3002500375-2000</t>
  </si>
  <si>
    <t>J93448</t>
  </si>
  <si>
    <t>KEY,IMP&amp;CPLR   1/2SQX2-1/8LG</t>
  </si>
  <si>
    <t>KEY,IMPELLER &amp; COUPLER: TYPE 304 STAINLESS STEEL;BAR, ANNEALED COLD FINISHED GROUND, ASTM A276, TP304. 1/2" SQ. X 2-1/8" LG.</t>
  </si>
  <si>
    <t>https://www.huyett.com/7005000500-2125</t>
  </si>
  <si>
    <t>J93449</t>
  </si>
  <si>
    <t>KEY,IMPELLER   1/2SQX3-3/4LG</t>
  </si>
  <si>
    <t>KEY,IMPELLER: CARBON STEEL BAR STOCK,COLD DRAWN. ASTM A108 GR. C1018.</t>
  </si>
  <si>
    <t>https://www.huyett.com/3005000500-3750</t>
  </si>
  <si>
    <t>J93450</t>
  </si>
  <si>
    <t>KEY,COUPLER    1/2SQX2-7/8LG</t>
  </si>
  <si>
    <t>KEY,COUPLER: CARBON STEEL BAR STOCK,COLD DRAWN. ASTM A108 GR. C1018. 1/2" SQ. X 2-7/8" LG.</t>
  </si>
  <si>
    <t>https://www.mcmaster.com/98870A296/</t>
  </si>
  <si>
    <t>J93595</t>
  </si>
  <si>
    <t>KEY,IMPELLER   3/8X1/2X3-3/4LG</t>
  </si>
  <si>
    <t>KEY,IMPELLER CARBON STEEL BAR STOCK,COLD DRAWN. ASTM A108 GR. C1018. 3/8" X 1/2" W. X 3-3/4" LG.</t>
  </si>
  <si>
    <t>Machine Key 3/8 x 1/2 x 3-3/4 Form B CS PL UN (huyett.com)</t>
  </si>
  <si>
    <t>J94130</t>
  </si>
  <si>
    <t>O-RING EPDM    SIZE 2-245</t>
  </si>
  <si>
    <t>SEE DRAWING;</t>
  </si>
  <si>
    <t>Parker</t>
  </si>
  <si>
    <t>https://ph.parker.com/us/en/product/nitrile-70-durometer-o-ring-ul-approved-n1499-70/n1499-2-245</t>
  </si>
  <si>
    <t>J94131</t>
  </si>
  <si>
    <t>O-RING EPDM    SIZE 2-254</t>
  </si>
  <si>
    <t>https://ph.parker.com/us/en/product/nitrile-70-durometer-o-ring-ul-approved-n1499-70/n1499-2-254</t>
  </si>
  <si>
    <t>J94140</t>
  </si>
  <si>
    <t>O-RING EPDM    SIZE 2-235</t>
  </si>
  <si>
    <t>https://ph.parker.com/us/en/product/nitrile-70-durometer-o-ring-ul-approved-n1499-70/n1499-2-235</t>
  </si>
  <si>
    <t>J94141</t>
  </si>
  <si>
    <t>O-RING EPDM    SIZE 2-240</t>
  </si>
  <si>
    <t>https://ph.parker.com/us/en/product/nitrile-70-durometer-o-ring-ul-approved-n1499-70/n1499-2-240</t>
  </si>
  <si>
    <t>J94142</t>
  </si>
  <si>
    <t>O-RING EPDM    SIZE 2-260</t>
  </si>
  <si>
    <t>https://ph.parker.com/us/en/product/nitrile-70-durometer-o-ring-ul-approved-n1499-70/n1499-2-260</t>
  </si>
  <si>
    <t>J94143</t>
  </si>
  <si>
    <t>O-RING EPDM    SIZE 2-264</t>
  </si>
  <si>
    <t>https://ph.parker.com/us/en/product/nitrile-70-durometer-o-ring-ul-approved-n1499-70/n1499-2-264</t>
  </si>
  <si>
    <t>J94144</t>
  </si>
  <si>
    <t>O-RING EPDM    SIZE 2-448</t>
  </si>
  <si>
    <t>https://ph.parker.com/us/en/product/nitrile-70-durometer-o-ring-ul-approved-n1499-70/n1499-2-448</t>
  </si>
  <si>
    <t>J94145</t>
  </si>
  <si>
    <t>O-RING EPDM    SIZE 2-452</t>
  </si>
  <si>
    <t>SIZE 2-452, DUROMETER 70+/-5 (EPDM). PEROXIDE CURED. NOTE: INDIVIDUAL CONTAINER SUCH AS CARTON, ROLL OR BAG -      SUPPLIED BY VENDOR REQUIRES A LABEL OR TAG INDICATING;      MANUFACTURER, MANUFACTURER'S P/N, DATE OF MANUFACTURE,       COMPOUND NO. AND B&amp;G P/N.</t>
  </si>
  <si>
    <t>https://ph.parker.com/us/en/product/nitrile-70-durometer-o-ring-ul-approved-n1499-70/n1499-2-452</t>
  </si>
  <si>
    <t>K04500</t>
  </si>
  <si>
    <t>CAPSCREW HEX HD 1/2-13NCX1-1/2</t>
  </si>
  <si>
    <t>1/2"DIA.-13UNC-2 X 1-1/2"LG. ASTM-A449/SAE-J429 GRADE 5, STEEL.</t>
  </si>
  <si>
    <t>https://www.grainger.com/product/Hex-Head-Cap-Screw-Steel-22TC39</t>
  </si>
  <si>
    <t>P01808</t>
  </si>
  <si>
    <t>SET SCR SKT HD 5/16-18NCX3/8LG</t>
  </si>
  <si>
    <t>SET SCREW; HEX. SOCKET TYPE: 5/16"-DIA.-18UNC-2AX3/8"LG,HALF DOG POINT. STAINLESS STEEL, 300 SERIES;</t>
  </si>
  <si>
    <t>https://www.mcmaster.com/92845A610/</t>
  </si>
  <si>
    <t>P04660</t>
  </si>
  <si>
    <t>LOCKWASHER 3/8 SCREW SIZE</t>
  </si>
  <si>
    <t>LOCKWASHER; INTERNAL TOOTH TYPE; .035" TK.; 3/8" SCREW SIZE; #410 STAINLESSS STEEL;SHAKEPROOF #1720-00;</t>
  </si>
  <si>
    <t>For Screw Size 3/8 in, Internal Tooth Lock, Lock Washer - 22UJ92|U53462.037.0001 - Grainger</t>
  </si>
  <si>
    <t>P09540</t>
  </si>
  <si>
    <t>FSTNR PKG ASM</t>
  </si>
  <si>
    <t>https://www.grainger.com/product/Hex-Head-Cap-Screw-Steel-5JTE3</t>
  </si>
  <si>
    <t>CAPSCREW HEX HD 5/16-18NCX5/8</t>
  </si>
  <si>
    <t>CAPSCREW; HEX HD. 5/16" DIA 18 UNC - 2A X 5/8" LG. DIMENSIONS TO CONFORM TO ANSI STANDARD B18.2.1;LOW CARBON STEEL, SAE GRADE 2.</t>
  </si>
  <si>
    <t>https://www.huyett.com/ftws-0500-zyb</t>
  </si>
  <si>
    <t>P11150</t>
  </si>
  <si>
    <t>LOCKWASHER     7/16 BOLT SIZE</t>
  </si>
  <si>
    <t>LOCKWASHER; INTERNAL TOOTH TYPE; 7/16" BOLT SIZE, STEEL; SHAKEPROOF #1222-00.</t>
  </si>
  <si>
    <t>https://www.grainger.com/product/Split-Lock-Washer-For-Screw-23NJ84</t>
  </si>
  <si>
    <t>P11190</t>
  </si>
  <si>
    <t>WASHER FLAT 1/2 BOLT SIZE</t>
  </si>
  <si>
    <t>1/2" STD. MIL-CARB HARD (HIGH STRENGTH HEAT TREATED);ROCKWELL 38-45;FLAT WASHER PLAIN (9/16 X 1.37 X .100);</t>
  </si>
  <si>
    <t>https://www.grainger.com/product/Hex-Head-Cap-Screw-Steel-22RX66</t>
  </si>
  <si>
    <t>P13820</t>
  </si>
  <si>
    <t>CAPSCREW HEX HD 5/8-11NCX2-1/2</t>
  </si>
  <si>
    <t>CAPSCREW, HEX. HD. 5/8" DIA 11 UNC-2A X 2-1/2" LG. DIMENSIONS TO CONFORM TO ANSI STANDARD B18.2.1;LOW CARBON STEEL, SAE GRADE 2. ZINC PLATED;</t>
  </si>
  <si>
    <t>https://www.huyett.com/ftws-0625-zn</t>
  </si>
  <si>
    <t>WASHER FLAT 5/8 BOLT SIZE</t>
  </si>
  <si>
    <t>5/8" SAE MIL-CARB (HIGH STRENGTH HEAT TREATED);ROCKWELL 38-45;FLAT WASHER PLAIN (.656 X 1.31 X .122);</t>
  </si>
  <si>
    <t>https://www.grainger.com/product/Cap-Nut-3-8-24-Thread-6RA34</t>
  </si>
  <si>
    <t>P2000236</t>
  </si>
  <si>
    <t>NUT HEX CAP    3/8-24UNF-2B</t>
  </si>
  <si>
    <t>NUT,HEXAGON CAP: ACORN TYPE 3/8"-24UNF-2B;SS 304;</t>
  </si>
  <si>
    <t>P2001748</t>
  </si>
  <si>
    <t>ITSC QUICKSTART GUIDE</t>
  </si>
  <si>
    <t>8-1/2"X 11", TO BE PLACED IN 2 MIL X 10"X 15"-CLEAR PLASTIC BAG &amp; STAPLED. PER - REV. "B";</t>
  </si>
  <si>
    <t>P2004389</t>
  </si>
  <si>
    <t>5.25" REPL. JAM NUT W/LOCTITE</t>
  </si>
  <si>
    <t>5.25" IMPELLER JAM NUT;CONTAINS .02 FL. OZ. OF LOCTITE 609;</t>
  </si>
  <si>
    <t>https://www.mcmaster.com/90850A150/</t>
  </si>
  <si>
    <t>PLUG HEX HD    1/4NPT</t>
  </si>
  <si>
    <t>PLUG, PIPE: HEX HD., 1/4" NPT. - STEEL;"ZINC PLATED".      U.S.A VENDOR;     REF: THIS PART IS USED IN A;     "MADE IN USA" ASSEMBLY.      REVIEW ASSEMBLY BEFORE;     SOURCING OUTSIDE THE U.S.A;</t>
  </si>
  <si>
    <t>https://www.buyfittingsonline.com/pipe-fittings-black-1-4-in-square-head-plug-150-lb-npt-threaded-malleable-iron-ul/</t>
  </si>
  <si>
    <t>P45360</t>
  </si>
  <si>
    <t>WASHER FLAT    7/16 BOLT SIZE</t>
  </si>
  <si>
    <t>7/16" STD. MIL-CARB (HIGH STRENGTH HEAT TREATED);ROCKWELL 38-45;FLAT WASHER PLAIN (1/2 X 1.25 X .064);</t>
  </si>
  <si>
    <t>Flat Wshr USS Mil-Carb Grade 8 7/16 ZY (huyett.com)</t>
  </si>
  <si>
    <t>P46380</t>
  </si>
  <si>
    <t>WASHER,IMPELLER</t>
  </si>
  <si>
    <t>STEEL, B&amp;G #X14500;FINISH: HOT ROLLED, PICKLED &amp; OILED DRAWING QUALITY (HRPODQ);CHEMISTRY: C1008 .10 MAX. CARBON (CARBON RANGE .05-.10);HARDNESS: ROCKWELL B65 MAX.</t>
  </si>
  <si>
    <t>Fender Flat Washers 3/8 x 1-1/4 in Steel (huyett.com)</t>
  </si>
  <si>
    <t>LOCKWASHER; SPLIT RING TYPE (SPRING) 5/8" BOLT;SIZE; MEDIUM SECTION - LOW CARBON STEEL. ZINC PLATED;</t>
  </si>
  <si>
    <t>https://www.mcmaster.com/91102A035/</t>
  </si>
  <si>
    <t>P49369</t>
  </si>
  <si>
    <t>KEY            3/16SQX1"LG</t>
  </si>
  <si>
    <t>KEY,TYPE 304 STAINLESS STEEL BAR,ANNEALED COLD;FINISH GROUND,ASTM A276,TP304. 3/16" SQ. X 1" LG.</t>
  </si>
  <si>
    <t>https://www.mcmaster.com/92624A404/</t>
  </si>
  <si>
    <t>P49371</t>
  </si>
  <si>
    <t>KEY            1/4SQX1-7/8LG</t>
  </si>
  <si>
    <t>KEY, CARBON STEEL BAR STOCK,COLD DRAWN. ASTM A108 GR. C1018. 1/4"SQ. X 1-7/8" LG.</t>
  </si>
  <si>
    <t>https://www.mcmaster.com/98870A430/</t>
  </si>
  <si>
    <t>P49372</t>
  </si>
  <si>
    <t>KEY, TYPE 304 STAINLESS STEEL BAR, ANNEALED COLD FINISHED GROUND, ASTM A276,TP304. 1/4" SQ. X 1-7/8" LG.</t>
  </si>
  <si>
    <t>P49373</t>
  </si>
  <si>
    <t>KEY,COUPLER    1/4SQX1-1/4LG</t>
  </si>
  <si>
    <t>KEY COUPLER: (1510 &amp; 3510 PUMB);1/4" SQUARE   1-1/4" LG., CARBON STEEL BAR, COLD DRAWN;ASTM A108, GR. C 1018;</t>
  </si>
  <si>
    <t>Machine Key, 1008-1045 Carbon Steel, 1/4" x 1/4", 1-1/4" Long, Oversized | McMaster-Carr</t>
  </si>
  <si>
    <t>P5001032</t>
  </si>
  <si>
    <t>CAPSCREW HEX HD 1/2-13NCX1-1/4</t>
  </si>
  <si>
    <t>CAPSCREW, HEX HD. 1/2"DIA.-13UNC-2A X 1-1/4" LG. DIMENSIONS TO CONFORM TO ANSI STANDARD B18.2.1;SAE GRADE 5,  ZINC PLATED;</t>
  </si>
  <si>
    <t>https://www.mcmaster.com/92865A714/</t>
  </si>
  <si>
    <t>SNAP RING EXT. 2.5"</t>
  </si>
  <si>
    <t>SNAP RING, STAINLESS STEEL, EXT. 2.5";</t>
  </si>
  <si>
    <t>https://www.mcmaster.com/91590A168/</t>
  </si>
  <si>
    <t>SNAP RING EXT. 3.5"</t>
  </si>
  <si>
    <t>SNAP RING, STAINLESS STEEL, EXT. 3.5";</t>
  </si>
  <si>
    <t>https://www.mcmaster.com/91590A220/</t>
  </si>
  <si>
    <t>P5001287</t>
  </si>
  <si>
    <t>KEY IMPELLER 3/8X3/8X3.375</t>
  </si>
  <si>
    <t>KEY, IMPELLER 3/8"X3/8"X3.375";SQUARE PLAIN PARALLEL;300 SERIES STAINLESS STEEL;</t>
  </si>
  <si>
    <t>https://www.huyett.com/4503750375-3375</t>
  </si>
  <si>
    <t>P5001288</t>
  </si>
  <si>
    <t>KEY IMPELLER 1/2X1/2X4.125</t>
  </si>
  <si>
    <t>KEY, IMPELLER 1/2"X1/2"X4.125";SQUARE PLAIN PARALLEL;300 SERIES STAINLESS STEEL;</t>
  </si>
  <si>
    <t>https://www.huyett.com/7005000500-4250</t>
  </si>
  <si>
    <t>P5001577</t>
  </si>
  <si>
    <t>KEY COUPLER 5/16X5/16X2.313</t>
  </si>
  <si>
    <t>KEY, COUPLER: CARBON STEEL BAR STOCK,COLD DRAWN. ASTM A108 GR. C1018. 5/16"X5/16"X2.313";</t>
  </si>
  <si>
    <t>18-8 Stainless Steel Machine Key, 5/16" x 5/16", 2-1/2" Long, Undersized | McMaster-Carr</t>
  </si>
  <si>
    <t>P5001579</t>
  </si>
  <si>
    <t>KEY COUPLER 1/2X1/2X3.00</t>
  </si>
  <si>
    <t>KEY, COUPLER: CARBON STEEL BAR STOCK,COLD DRAWN. ASTM A108 GR. C1018. 1/2X1/2X3.00;</t>
  </si>
  <si>
    <t>P5001580</t>
  </si>
  <si>
    <t>KEY COUPLER 5/8X5/8X3.375</t>
  </si>
  <si>
    <t>KEY, COUPLER: CARBON STEEL BAR STOCK,COLD DRAWN. ASTM A108 GR. C1018. 5/8X5/8X3.375;</t>
  </si>
  <si>
    <t>Machine Key 5/8 x 5/8 x 3-3/8 Form B Carbon Steel Undersize (huyett.com)</t>
  </si>
  <si>
    <t>SET SCREW, 1/4-20UNC</t>
  </si>
  <si>
    <t>SET SCREW 1/4-20UNC X 3/8 LG. HEX SOCKET, CUP POINT;300 SERIES STAINLESS STEEL;</t>
  </si>
  <si>
    <t>P5003556</t>
  </si>
  <si>
    <t>HEX HEAD CAP SCREW 5/8 X 4.5L</t>
  </si>
  <si>
    <t>5/8 - 18 UNF -2A - 4.5 LG;GRADE 5 FULLY THREADED;ZINC PLATED STEEL;HEX HEAD TAP BOLTS;</t>
  </si>
  <si>
    <t>https://www.grainger.com/product/Hex-Head-Cap-Screw-Steel-30Z574</t>
  </si>
  <si>
    <t>P52320</t>
  </si>
  <si>
    <t>CAPSCREW HX HD 3/8-16 X 1"LG</t>
  </si>
  <si>
    <t>CAPSCREW HEX. HEAD 3/8" DIA. 16UNC-2A X 1"LG. DIMENSIONS TO CONFORM TO ANSI STANDARD B18.2.1;LOW CARBON STEEL,SAE GRADE 2. NOTE: EACH SHIPPING CONTAINER TO HAVE A;MAXIMUM OF 1,000 PIECES. ZINC PLATED;</t>
  </si>
  <si>
    <t>https://www.grainger.com/product/Hex-Head-Cap-Screw-Steel-22RY24</t>
  </si>
  <si>
    <t>CAPSCREW HEX HD 3/8-16NCX1-1/8</t>
  </si>
  <si>
    <t>CAPSCREW, HEX HD., 3/8" DIA - 16 UNC-2A X 1-1/8";LG., TYPE #304 OR #305 STAINLESS STEEL. DIMENSIONS TO CONFORM TO ANSI STD. B18.2.1.</t>
  </si>
  <si>
    <t>Stainless Steel, A2, Hex Head Cap Screw - 24K877|U51000.037.0112 - Grainger</t>
  </si>
  <si>
    <t>P57000</t>
  </si>
  <si>
    <t>GASKET IMP SCR</t>
  </si>
  <si>
    <t>GASKET, IMPELLER CAPSC'R RING TYPE DISIGN, .390" +/- .010" I.D. X 9/16" O.D. X 1/16" THK. (10MM SPARK PLUG DIM.) SOLID COPPER WASHER; BRIGHT ANNEALED TO DEAD SOFT;</t>
  </si>
  <si>
    <t>NUT HEX LGT    7/16-20UNF-2B</t>
  </si>
  <si>
    <t>NUT, HEXAGON; 7/16" - 20 UNF-2B AMERICAN STANDARD;LIGHT SEMI-FINISHED - STAINLESS STEEL TYPE #316;</t>
  </si>
  <si>
    <t>https://www.mcmaster.com/94804A335/</t>
  </si>
  <si>
    <t>P6010001</t>
  </si>
  <si>
    <t>SQ HD SET SCREWS M12X1.75X40</t>
  </si>
  <si>
    <t>SQUARE HEAD SET SCREW M12 X 1.75 X 40MM;ISO 898-5:2012 GRADE 33H CARBON STEEL;OR EQUIVALENT;DIMENSIONS TO CONFORM TO GB/T 85;TO BE BULK PACKED;WRAPPED IN PLASTIC AND/OR VCI;PACKAGE SUPPLIED BY VENDOR REQUIRES A LABEL OR TAG INDICATING;MANUFACTURER'S P/N AND XYLEM P/N.</t>
  </si>
  <si>
    <t>https://www.mcmaster.com/92635A421</t>
  </si>
  <si>
    <t>P6010006</t>
  </si>
  <si>
    <t>HEX SET SCREW M6X1X8</t>
  </si>
  <si>
    <t>HEX HEAD SCREW M6 X 1 X 8MM;ISO 3506 GRADE A1 STAINLESS STEEL;OR EQUIVALENT;DIMENSIONS TO CONFORM TO GB/T 77;TO BE BULK PACKED;WRAPPED IN PLASTIC AND/OR VCI;PACKAGE SUPPLIED BY VENDOR REQUIRES A LABEL OR TAG INDICATING;MANUFACTURER'S P/N AND XYLEM P/N.</t>
  </si>
  <si>
    <t>https://www1.mcmaster.com/92605A127/</t>
  </si>
  <si>
    <t>P6010056</t>
  </si>
  <si>
    <t>O-RING 95X5.3</t>
  </si>
  <si>
    <t>O-RING 95MM X 5.3MM;FKM;DIMENSIONS TO CONFORM TO GB/T 3452.1;NOTE: INDIVIDUAL CONTAINER SUCH AS CARTON ROLL OR BAG;SUPPLIED BY VENDOR REQUIRES A LABEL OR TAG INDICATING;MANUFACTURER, MANUFACTURER'S P/N, DATE OF MANUFACTURE, COMPOUND NO. AND XYLEM P/N.</t>
  </si>
  <si>
    <t>O-ring-stocks</t>
  </si>
  <si>
    <t>https://www.o-ring-stocks.com/o-ring-95x5.3-viton-fkm-fpm-75-shore-a-brown-ses-143705</t>
  </si>
  <si>
    <t>P6010058</t>
  </si>
  <si>
    <t>O-RING 118MM X 5.3MM</t>
  </si>
  <si>
    <t>O-RING 118MM X 5.3MM;FKM;DIMENSIONS TO CONFORM TO GB/T3452.1;NOTE: INDIVIDUAL CONTAINER SUCH AS CARTON ROLL OR BAG;SUPPLIED BY VENDOR REQUIRES A LABEL OR TAG INDICATING;MANUFACTURER, MANUFACTURER'S P/N, DATE OF MANUFACTURE, COMPOUND NO. AND XYLEM P/N.</t>
  </si>
  <si>
    <t>O-Ring 118x5.3 Viton-FKM-FPM - 90 Shore A - Black - ses-338604 - O-Rings-Stock O-Ring Webshop (o-ring-stocks.com)</t>
  </si>
  <si>
    <t>P6010243</t>
  </si>
  <si>
    <t>O-RING 185MM X 5.3MM</t>
  </si>
  <si>
    <t>O-RING 185MM X 5.3MM;FKM;DIMMENSION TO CONFORM TO GB/T 3452.1;NOTE: INDIVIDUAL CONTAINER SUCH AS CARTON ROLL OR BAG;SUPPLIED BY VENDOR REQUIRES A LABEL OR TAG INDICATING;MANUFACTURER, MANUFACTURER'S P/N, DATE OF MANUFACTURE, COMPOUND NO. AND XYLEM P/N.</t>
  </si>
  <si>
    <t>P6010244</t>
  </si>
  <si>
    <t>O-RING 82.5X3.55</t>
  </si>
  <si>
    <t>O-RING 82.5MM X 3.55MM;FKM;DIMENSIONS TO CONFORM TO GB/T 3452.1;NOTE: INDIVIDUAL CONTAINER SUCH AS CARTON ROLL OR BAG;SUPPLIED BY VENDOR REQUIRES A LABEL OR TAG INDICATING;MANUFACTURER, MANUFACTURER'S P/N, DATE OF MANUFACTURE, COMPOUND NO. AND XYLEM P/N.</t>
  </si>
  <si>
    <t>Oil-Resistant Buna-N O-Ring, 3.55 mm Wide, 82.5 mm ID, 89.6 mm OD | McMaster-Carr</t>
  </si>
  <si>
    <t>P6010247</t>
  </si>
  <si>
    <t>KEY 14X9X86</t>
  </si>
  <si>
    <t>KEY W/SQUARE ENDS 14MM X 9MM X 86MM;GB 699-88 C45 MEDIUM-CARBON STEEL;DIMENSIONS TO CONFORM TO GB/T 1096;</t>
  </si>
  <si>
    <t>https://www.mcmaster.com/98870A835/</t>
  </si>
  <si>
    <t>P6010987</t>
  </si>
  <si>
    <t>O-RING 69X3.55</t>
  </si>
  <si>
    <t>O-RING 69MM X 3.55MM;FKM;DIMENSIONS TO CONFORM TO GB/T 3452.1;NOTE: INDIVIDUAL CONTAINER SUCH AS CARTON ROLL OR BAG;SUPPLIED BY VENDOR REQUIRES A LABEL OR TAG INDICATING;MANUFACTURER, MANUFACTURER'S P/N, DATE OF MANUFACTURE, COMPOUND NO. AND XYLEM P/N.</t>
  </si>
  <si>
    <t>O-Ring 69x3.55 Viton-FKM-FPM - 80 Shore A - Black - ses-159252 - O-Rings-Stock O-Ring Webshop (o-ring-stocks.com)</t>
  </si>
  <si>
    <t>P6014768</t>
  </si>
  <si>
    <t>DOG POINT SCREW</t>
  </si>
  <si>
    <t>HALF DOG POINT SCREW 5/8"-18 X 4"LG;LOW CARBON STEEL, CASE HARDENED STEEL;PER ASME B18.6.2 OR GRADE 8.8;ZINC PLATED, DICHROMATE TREAT.</t>
  </si>
  <si>
    <t>P6015748</t>
  </si>
  <si>
    <t>O-RING 112MM</t>
  </si>
  <si>
    <t>O-RING 112MM;FKM;DIMMENSION TO CONFORM TO GB/T 3452.1;NOTE: INDIVIDUAL CONTAINER SUCH AS CARTON ROLL OR BAG;SUPPLIED BY VENDOR REQUIRES A LABEL OR TAG INDICATING;MANUFACTURER, MANUFACTURER'S P/N, DATE OF MANUFACTURE, COMPOUND NO. AND XYLEM P/N.</t>
  </si>
  <si>
    <t>https://www.mcmaster.com/1295N513/</t>
  </si>
  <si>
    <t>P64901</t>
  </si>
  <si>
    <t>FASTENER PKG ASM</t>
  </si>
  <si>
    <t>P75182</t>
  </si>
  <si>
    <t>KEY, SHAFT; 0.25" SQUARE BY 0.94" LONG. CARBON STEEL KEY STOCK, COLD DRAWN, ASTM A108 GR. C1018.</t>
  </si>
  <si>
    <t>https://www.huyett.com/3002500250-1000</t>
  </si>
  <si>
    <t>P75183</t>
  </si>
  <si>
    <t>KEY, SHAFT; 0.375" SQUARE BY 1.31" LONG. CARBON STEEL KEY STOCK, COLD DRAWN, ASTM A108 GR. C1018.</t>
  </si>
  <si>
    <t>https://www.huyett.com/3003750375-1312</t>
  </si>
  <si>
    <t>P75406</t>
  </si>
  <si>
    <t>KEY,IMP. 3/8SQX2-1/8LG 304SS</t>
  </si>
  <si>
    <t>KEY, TYPE 304 STAINLESS STEEL;ANNEALED COLD FINISHED GROUND, ASTM A276,TP304. 3/8" SQ. X 2-1/8" LG.</t>
  </si>
  <si>
    <t>https://www.huyett.com/7003750375-2125</t>
  </si>
  <si>
    <t>P75407</t>
  </si>
  <si>
    <t>KEY, COUPLING .50"SQ X 2"LG</t>
  </si>
  <si>
    <t>KEY, COUPLING  0.50" SQUARE X 2" LONG. CARBON STEEL KEY STOCK, COLD DRAWN, ASTM A108 GR. C1018.</t>
  </si>
  <si>
    <t>https://www.mcmaster.com/98870A490/</t>
  </si>
  <si>
    <t>LOCKWASHER BRG</t>
  </si>
  <si>
    <t>LOCKWASHER; BEARING, W-11 FOR BALL &amp; ROLLER;BEARINGS; 1/8" X 5/16" KEYWAY REQ'D - .063" TK. EXTERNAL TOOTH; BEARING SIZE 11; STEEL;(WILL MEET AFBMA STANDARDS).</t>
  </si>
  <si>
    <t>Bearing Lock Washer Std 3.109 x 2.182/2.207 x .058/.068 17 Tangs (huyett.com)</t>
  </si>
  <si>
    <t>S43640</t>
  </si>
  <si>
    <t>CAPSCREW HEX HD3/8-16NCX1/2LG</t>
  </si>
  <si>
    <t>3/8"DIA.-16UNC-2AX1/2"LG. DIMENSIONS TO CONFORM TO ANSI STANDARD B18.2.1;"LOW CARBON STEEL, SAE GRADE 2.";</t>
  </si>
  <si>
    <t>https://www.grainger.com/product/Hex-Head-Cap-Screw-Steel-22RX06</t>
  </si>
  <si>
    <t>T35840</t>
  </si>
  <si>
    <t>NUT HEX HVY    3/4-10UNC-2B</t>
  </si>
  <si>
    <t>https://www.mcmaster.com/95045A036/</t>
  </si>
  <si>
    <t>RETAINER RING</t>
  </si>
  <si>
    <t>RETAINER RING (EXTERNAL) STEEL ZINC PLATED;DICHROMATE DIP.</t>
  </si>
  <si>
    <t>https://www.rotorclip.com/product/E-43/</t>
  </si>
  <si>
    <t>RETAINER RING (EXTERNAL) STEEL, ZINC PLATE;DICHROMATE DIP.</t>
  </si>
  <si>
    <t>https://www.rotorclip.com/product/BE-43/</t>
  </si>
  <si>
    <t>V51281</t>
  </si>
  <si>
    <t>NUT,PACKING 1-3/8-12UNF-2A</t>
  </si>
  <si>
    <t>1-3/8"HEX.,1-3/8"-12UNF-2A THREAD. ANSI OR SAE NO.1215 OR EQUAL;STEEL ELECTROLESS;NICKEL PLATED .0005"MIN.TK.</t>
  </si>
  <si>
    <t>https://www.mcmaster.com/95462A563/</t>
  </si>
  <si>
    <t>X42104</t>
  </si>
  <si>
    <t>TUBE SMLS      50FT COIL</t>
  </si>
  <si>
    <t>TUBE, SEAMLESS COPPER ASTM B-68 B&amp;G #X42100;1/4 O.D. - .030 X 50 FT.COIL TYPE (DHP) COPPER;(SOFT ANNEALED);</t>
  </si>
  <si>
    <t>BPSSG</t>
  </si>
  <si>
    <t>https://www.bpssg.com/1/4-r-50-soft-temper-refrigeration-tubing-1/4-in-od-x-50-ft-l-coil-form-copper</t>
  </si>
  <si>
    <t>XYLEM (MORTON GROVE) HARDWARE AND FASTENER RECOMMENDED REPLACEMENT LIST - SEPTEMBER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</si>
</sst>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/>
    <xf numFmtId="0" fontId="0" fillId="2" borderId="0" xfId="0" applyFill="1"/>
    <xf numFmtId="0" fontId="2" fillId="2" borderId="0" xfId="1" applyFill="1"/>
    <xf numFmtId="0" fontId="0" fillId="2" borderId="0" xfId="0" applyFill="1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2" fillId="2" borderId="0" xfId="1" applyFill="1" applyBorder="1" applyAlignment="1">
      <alignment horizontal="left" vertical="top" wrapText="1"/>
    </xf>
    <xf numFmtId="49" fontId="0" fillId="2" borderId="0" xfId="0" applyNumberFormat="1" applyFill="1" applyAlignment="1">
      <alignment horizontal="left" vertical="top"/>
    </xf>
    <xf numFmtId="0" fontId="0" fillId="2" borderId="0" xfId="0" applyFill="1" applyAlignment="1">
      <alignment vertical="center"/>
    </xf>
    <xf numFmtId="0" fontId="2" fillId="2" borderId="0" xfId="1" applyFill="1" applyBorder="1"/>
    <xf numFmtId="0" fontId="2" fillId="2" borderId="0" xfId="1" applyNumberFormat="1" applyFill="1" applyBorder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" fontId="1" fillId="3" borderId="0" xfId="0" applyNumberFormat="1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ramos\AppData\Local\Microsoft\Windows\INetCache\Content.Outlook\67NR9DLQ\Hardware%20and%20Fastener%20Data_02.19.2024_ENG.xlsx" TargetMode="External"/><Relationship Id="rId1" Type="http://schemas.openxmlformats.org/officeDocument/2006/relationships/externalLinkPath" Target="file:///C:\Users\aramos\AppData\Local\Microsoft\Windows\INetCache\Content.Outlook\67NR9DLQ\Hardware%20and%20Fastener%20Data_02.19.2024_E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ardware Sales Clean"/>
      <sheetName val="Hardware Backlog"/>
      <sheetName val="Sales Pivot"/>
      <sheetName val="SKU Pivot"/>
      <sheetName val="Supplier Info"/>
      <sheetName val="Margins"/>
      <sheetName val="SKU Analysis_1"/>
      <sheetName val="SKU Analysis_2"/>
      <sheetName val="SKU Analysis_3"/>
      <sheetName val="XGV Data"/>
      <sheetName val="Where Used"/>
      <sheetName val="End items &amp; state"/>
      <sheetName val="Assembly Brea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">
          <cell r="C2" t="str">
            <v>52-101-319-002</v>
          </cell>
          <cell r="D2" t="str">
            <v>NUT</v>
          </cell>
          <cell r="E2" t="str">
            <v>HEX. HEAVY NUT;3/8-16 THDS. PER INCH  STN. STL. 18;-8;</v>
          </cell>
          <cell r="F2" t="str">
            <v>AWS HSC - AC Firepumps</v>
          </cell>
          <cell r="G2" t="str">
            <v>0.1 (Design)</v>
          </cell>
          <cell r="H2" t="str">
            <v>Released-Published</v>
          </cell>
          <cell r="I2" t="str">
            <v>2022-01-23 00:56 EST</v>
          </cell>
          <cell r="J2" t="str">
            <v>2022-01-22 15:59 EST</v>
          </cell>
          <cell r="K2" t="str">
            <v>NA-Not Applicable</v>
          </cell>
          <cell r="L2" t="str">
            <v>No</v>
          </cell>
          <cell r="M2" t="str">
            <v>ECR's: (23024)121111;</v>
          </cell>
        </row>
        <row r="3">
          <cell r="C3" t="str">
            <v>52-108-709-043</v>
          </cell>
          <cell r="D3" t="str">
            <v>STUD</v>
          </cell>
          <cell r="E3" t="str">
            <v>STUD  3/8-16 X 2 3/4;18/8  STN.STL. MISC STUD;</v>
          </cell>
          <cell r="F3" t="str">
            <v>AWS HSC - AC Firepumps</v>
          </cell>
          <cell r="G3" t="str">
            <v>0.1 (Design)</v>
          </cell>
          <cell r="H3" t="str">
            <v>Released-Published</v>
          </cell>
          <cell r="I3" t="str">
            <v>2022-01-23 00:56 EST</v>
          </cell>
          <cell r="J3" t="str">
            <v>2022-01-22 16:06 EST</v>
          </cell>
          <cell r="K3" t="str">
            <v>NA-Not Applicable</v>
          </cell>
          <cell r="L3" t="str">
            <v>No</v>
          </cell>
          <cell r="M3" t="str">
            <v>ECR's: (23024)121111;</v>
          </cell>
        </row>
        <row r="4">
          <cell r="C4" t="str">
            <v>52-113-090-010</v>
          </cell>
          <cell r="D4" t="str">
            <v>TEE,BRS COMPRESSION RUNXNPTM</v>
          </cell>
          <cell r="E4" t="str">
            <v>TEE FITTING .25 BRASS;</v>
          </cell>
          <cell r="F4" t="str">
            <v>AWS HSC - AC Firepumps</v>
          </cell>
          <cell r="G4" t="str">
            <v>0.1 (Design)</v>
          </cell>
          <cell r="H4" t="str">
            <v>Released-Published</v>
          </cell>
          <cell r="I4" t="str">
            <v>2022-01-23 00:56 EST</v>
          </cell>
          <cell r="J4" t="str">
            <v>2022-01-22 16:07 EST</v>
          </cell>
          <cell r="K4" t="str">
            <v>NA-Not Applicable</v>
          </cell>
          <cell r="L4" t="str">
            <v>Yes</v>
          </cell>
          <cell r="M4" t="str">
            <v>ECR's: (N1346)10/12/98(23024)121111; ESV: IMPERIAL EASTMAN #72-F-0404 OR EQUAL;</v>
          </cell>
        </row>
        <row r="5">
          <cell r="C5" t="str">
            <v>52-114-088-007</v>
          </cell>
          <cell r="D5" t="str">
            <v>DRIVE-LOK-PIN</v>
          </cell>
          <cell r="E5" t="str">
            <v>DRIVE LOK-PIN         STN. STL. .109" DIA. X .5" LG. - TYPE A;</v>
          </cell>
          <cell r="F5" t="str">
            <v>AWS HSC - AC Firepumps</v>
          </cell>
          <cell r="G5" t="str">
            <v>0.1 (Design)</v>
          </cell>
          <cell r="H5" t="str">
            <v>Released-Published</v>
          </cell>
          <cell r="I5" t="str">
            <v>2022-01-23 00:56 EST</v>
          </cell>
          <cell r="J5" t="str">
            <v>2022-01-22 15:46 EST</v>
          </cell>
          <cell r="K5" t="str">
            <v>FM,UL/ULC</v>
          </cell>
          <cell r="L5" t="str">
            <v>No</v>
          </cell>
          <cell r="M5" t="str">
            <v>ECR's: (N1346)10/12/98(22330)071009(23024)121111;</v>
          </cell>
        </row>
        <row r="6">
          <cell r="C6" t="str">
            <v>52-122-980-001</v>
          </cell>
          <cell r="D6" t="str">
            <v>IMPELLER NUT</v>
          </cell>
          <cell r="E6" t="str">
            <v>IMPELLER NUT;AISI 303 STN. STL.</v>
          </cell>
          <cell r="F6" t="str">
            <v>AWS HSC - AC Firepumps</v>
          </cell>
          <cell r="G6" t="str">
            <v>0.1 (Design)</v>
          </cell>
          <cell r="H6" t="str">
            <v>Released-Published</v>
          </cell>
          <cell r="I6" t="str">
            <v>2022-01-23 00:57 EST</v>
          </cell>
          <cell r="J6" t="str">
            <v>2022-01-22 15:53 EST</v>
          </cell>
          <cell r="K6" t="str">
            <v>NA-Not Applicable</v>
          </cell>
          <cell r="L6" t="str">
            <v>No</v>
          </cell>
          <cell r="M6" t="str">
            <v>ECR's: (19907)031703(23024)121111;</v>
          </cell>
        </row>
        <row r="7">
          <cell r="C7" t="str">
            <v>52-126-957-012</v>
          </cell>
          <cell r="D7" t="str">
            <v>NEEDLE VALVE,BRASS,.25" COMP.X</v>
          </cell>
          <cell r="E7" t="str">
            <v>NEEDLE VALVE, .25 TUBE TO .25 NPT;MAT'L. BRASS.</v>
          </cell>
          <cell r="F7" t="str">
            <v>AWS HSC - AC Firepumps</v>
          </cell>
          <cell r="G7" t="str">
            <v>0.1 (Design)</v>
          </cell>
          <cell r="H7" t="str">
            <v>Released-Published</v>
          </cell>
          <cell r="I7" t="str">
            <v>2022-01-23 00:58 EST</v>
          </cell>
          <cell r="J7" t="str">
            <v>2022-01-22 15:58 EST</v>
          </cell>
          <cell r="K7" t="str">
            <v>NA-Not Applicable</v>
          </cell>
          <cell r="L7" t="str">
            <v>Yes</v>
          </cell>
          <cell r="M7" t="str">
            <v>ECR's: (N1346) 102798(23024)121111; ESV:1) IMPERIAL EASTMAN CAT. NO. 141 EF. ESV:2) HOLYOKE CAT. NO. 141-44.</v>
          </cell>
        </row>
        <row r="8">
          <cell r="C8" t="str">
            <v>52-129-668-501</v>
          </cell>
          <cell r="D8" t="str">
            <v>DOWEL PIN ASSY,TAPER</v>
          </cell>
          <cell r="E8" t="str">
            <v>TAPER DOWEL PIN, STYLE B (MORSE TAPER NO. 1);MATERIAL:  416 STAINLESS STEEL;W/HEX HEAD NUT .375-16 UNC-2B;SEE DRAWING FOR SPEC;</v>
          </cell>
          <cell r="F8" t="str">
            <v>AWS HSC - AC Firepumps</v>
          </cell>
          <cell r="G8" t="str">
            <v>0.1 (Design)</v>
          </cell>
          <cell r="H8" t="str">
            <v>Released-Published</v>
          </cell>
          <cell r="I8" t="str">
            <v>2022-01-23 00:59 EST</v>
          </cell>
          <cell r="J8" t="str">
            <v>2022-01-22 15:46 EST</v>
          </cell>
          <cell r="K8" t="str">
            <v>FM,UL/ULC</v>
          </cell>
          <cell r="L8" t="str">
            <v>No</v>
          </cell>
          <cell r="M8" t="str">
            <v>ECR's: (N1346)120298(18708)061400(19899)031403(23024)121111;</v>
          </cell>
        </row>
        <row r="9">
          <cell r="C9" t="str">
            <v>52-237-079-013</v>
          </cell>
          <cell r="D9" t="str">
            <v>BUSHING, DOUBLE TAP, M.I. HEX</v>
          </cell>
          <cell r="E9" t="str">
            <v>FUEL TANK FITTING FOR FIRE PUMP;3.0 NPT OUTSIDE X 2.0 NPT INSIDE DOUBLE TAPPED;HEX REDUCING BUSHING - CAST IRON;</v>
          </cell>
          <cell r="F9" t="str">
            <v>AWS HSC - AC Firepumps</v>
          </cell>
          <cell r="G9" t="str">
            <v>0.1 (Design)</v>
          </cell>
          <cell r="H9" t="str">
            <v>Released-Published</v>
          </cell>
          <cell r="I9" t="str">
            <v>2022-01-23 01:02 EST</v>
          </cell>
          <cell r="J9" t="str">
            <v>2022-01-22 15:42 EST</v>
          </cell>
          <cell r="K9" t="str">
            <v>NA-Not Applicable</v>
          </cell>
          <cell r="L9" t="str">
            <v>No</v>
          </cell>
          <cell r="M9" t="str">
            <v>ECR's: (N1346)111498(23024)121111;</v>
          </cell>
        </row>
        <row r="10">
          <cell r="C10" t="str">
            <v>AC0502</v>
          </cell>
          <cell r="D10" t="str">
            <v>WASHER, FLAT 1/2"BOLT SIZE</v>
          </cell>
          <cell r="E10" t="str">
            <v>STEEL, B&amp;G#X10800,ZINC PLATED;A-C #CP-651-005-301;</v>
          </cell>
          <cell r="F10" t="str">
            <v>AWS HSC - AC Firepumps</v>
          </cell>
          <cell r="G10" t="str">
            <v>0.1 (Design)</v>
          </cell>
          <cell r="H10" t="str">
            <v>Released-Published</v>
          </cell>
          <cell r="I10" t="str">
            <v>2022-01-23 01:28 EST</v>
          </cell>
          <cell r="J10" t="str">
            <v>2022-01-22 16:11 EST</v>
          </cell>
          <cell r="K10" t="str">
            <v>NA-Not Applicable</v>
          </cell>
          <cell r="L10" t="str">
            <v>No</v>
          </cell>
          <cell r="M10" t="str">
            <v>ECR's: (16695)080195(20638)060305(21596)082307(23024)121111;</v>
          </cell>
        </row>
        <row r="11">
          <cell r="C11" t="str">
            <v>AC0503</v>
          </cell>
          <cell r="D11" t="str">
            <v>WASHER, FLAT 3/4"BOLT SIZE</v>
          </cell>
          <cell r="E11" t="str">
            <v>PLAIN ROUND STEEL, 13/16"I.D.X2"O.D.X1/4"THK. ZINC PLATED;A-C #CP-651-005-413;</v>
          </cell>
          <cell r="F11" t="str">
            <v>AWS HSC - AC Firepumps</v>
          </cell>
          <cell r="G11" t="str">
            <v>0.1 (Design)</v>
          </cell>
          <cell r="H11" t="str">
            <v>Released-Published</v>
          </cell>
          <cell r="I11" t="str">
            <v>2022-04-28 23:24 EDT</v>
          </cell>
          <cell r="J11" t="str">
            <v>2022-01-22 16:11 EST</v>
          </cell>
          <cell r="K11" t="str">
            <v>NA-Not Applicable</v>
          </cell>
          <cell r="L11" t="str">
            <v>No</v>
          </cell>
          <cell r="M11" t="str">
            <v>ECR's: (N1278)120792(23024)121111;</v>
          </cell>
        </row>
        <row r="12">
          <cell r="C12" t="str">
            <v>AC0512</v>
          </cell>
          <cell r="D12" t="str">
            <v>RING, BRG. HSG.</v>
          </cell>
          <cell r="E12" t="str">
            <v>RETAINING RING, BASIC INTERNAL SERIES, SIZE NO. 393, CARBON SPRING STEEL, SAE 1060-1090, OIL DIPPED. A-C #CP-673-151-393;**;</v>
          </cell>
          <cell r="F12" t="str">
            <v>AWS HSC - AC Firepumps</v>
          </cell>
          <cell r="G12" t="str">
            <v>0.1 (Design)</v>
          </cell>
          <cell r="H12" t="str">
            <v>Released-Published</v>
          </cell>
          <cell r="I12" t="str">
            <v>2022-04-28 22:42 EDT</v>
          </cell>
          <cell r="J12" t="str">
            <v>2022-01-22 16:02 EST</v>
          </cell>
          <cell r="K12" t="str">
            <v>NA-Not Applicable</v>
          </cell>
          <cell r="L12" t="str">
            <v>Yes</v>
          </cell>
          <cell r="M12" t="str">
            <v>ECR's: (N1278)120792(23024)121111(26989)032522; ESV: 1) WALDES KOHINOOR, INC.-------SERIES: N5000;                                    SIZE NO. 393;      2) INDUSTRIAL RETAINING RING CO.           SERIES: 3000;          SIZE NO.393;</v>
          </cell>
        </row>
        <row r="13">
          <cell r="C13" t="str">
            <v>AC0515</v>
          </cell>
          <cell r="D13" t="str">
            <v>RING, BRG. HSG.</v>
          </cell>
          <cell r="E13" t="str">
            <v>RETAINING RING, BEVELED INTERNAL SERIES, SIZE NO.393, CARBON SPRING STEEL, SAE 1060-1090, OIL DIPPED. A-C #CP-673-157-393;**;</v>
          </cell>
          <cell r="F13" t="str">
            <v>AWS HSC - AC Firepumps</v>
          </cell>
          <cell r="G13" t="str">
            <v>0.0 (Design)</v>
          </cell>
          <cell r="H13" t="str">
            <v>Released-Published</v>
          </cell>
          <cell r="I13" t="str">
            <v>2022-01-22 16:02 EST</v>
          </cell>
          <cell r="J13" t="str">
            <v>2022-01-22 16:02 EST</v>
          </cell>
          <cell r="K13" t="str">
            <v>NA-Not Applicable</v>
          </cell>
          <cell r="L13" t="str">
            <v>Yes</v>
          </cell>
          <cell r="M13" t="str">
            <v>ECR's: (N1278)120792(22609)091510(23024)121111; ESV: 1) WALDES KOHINOOR, INC.------SERIES:N5002;                                   SIZE NO.393;</v>
          </cell>
        </row>
        <row r="14">
          <cell r="C14" t="str">
            <v>AC0516</v>
          </cell>
          <cell r="D14" t="str">
            <v>RING, SHAFT RETAINING</v>
          </cell>
          <cell r="E14" t="str">
            <v>BASIC EXTERNAL SERIES, SIZE NO.175. CARBON SPRING STEEL, SAE 1060-1090, OIL DIPPED. A-C #CP-673-165-175;**;</v>
          </cell>
          <cell r="F14" t="str">
            <v>AWS HSC - AC Firepumps</v>
          </cell>
          <cell r="G14" t="str">
            <v>0.0 (Design)</v>
          </cell>
          <cell r="H14" t="str">
            <v>Released-Published</v>
          </cell>
          <cell r="I14" t="str">
            <v>2022-01-22 16:02 EST</v>
          </cell>
          <cell r="J14" t="str">
            <v>2022-01-22 16:02 EST</v>
          </cell>
          <cell r="K14" t="str">
            <v>NA-Not Applicable</v>
          </cell>
          <cell r="L14" t="str">
            <v>Yes</v>
          </cell>
          <cell r="M14" t="str">
            <v>ECR's: (N1278)120792(22609)091510(23024)121111; ESV: 1) WALDES KOHINOOR INC.---------SERIES: 5100;                                     SIZE NO.175;      2) INDUSTRIAL RETAINING RING;          SERIES:3100;          SIZE NO.175;</v>
          </cell>
        </row>
        <row r="15">
          <cell r="C15" t="str">
            <v>AC0530</v>
          </cell>
          <cell r="D15" t="str">
            <v>ELBOW, PIPE 1/4"NPT</v>
          </cell>
          <cell r="E15" t="str">
            <v>90 DEGREE STREET, 1/4" NPT PER ANSI B16.3, 150 LB. STEAM BANDED MALLEABLE IRON, BLACK. A-C #CP-711-369-002;</v>
          </cell>
          <cell r="F15" t="str">
            <v>AWS HSC - AC Firepumps</v>
          </cell>
          <cell r="G15" t="str">
            <v>0.0 (Design)</v>
          </cell>
          <cell r="H15" t="str">
            <v>Released-Published</v>
          </cell>
          <cell r="I15" t="str">
            <v>2022-01-22 15:46 EST</v>
          </cell>
          <cell r="J15" t="str">
            <v>2022-01-22 15:46 EST</v>
          </cell>
          <cell r="K15" t="str">
            <v>NA-Not Applicable</v>
          </cell>
          <cell r="L15" t="str">
            <v>No</v>
          </cell>
          <cell r="M15" t="str">
            <v>ECR's: (N1278)120792(23024)121111;</v>
          </cell>
        </row>
        <row r="16">
          <cell r="C16" t="str">
            <v>AC0532</v>
          </cell>
          <cell r="D16" t="str">
            <v>PLUG, PIPE 1/4"NPT</v>
          </cell>
          <cell r="E16" t="str">
            <v>1/4" NPT PER ANSI B16.14;SQ. HD. SOLID TYPE, CARBON STEEL. A-C #CP-711-509-002;</v>
          </cell>
          <cell r="F16" t="str">
            <v>AWS HSC - AC Firepumps</v>
          </cell>
          <cell r="G16" t="str">
            <v>0.0 (Design)</v>
          </cell>
          <cell r="H16" t="str">
            <v>Released-Published</v>
          </cell>
          <cell r="I16" t="str">
            <v>2022-01-22 16:00 EST</v>
          </cell>
          <cell r="J16" t="str">
            <v>2022-01-22 16:00 EST</v>
          </cell>
          <cell r="K16" t="str">
            <v>NSF</v>
          </cell>
          <cell r="L16" t="str">
            <v>No</v>
          </cell>
          <cell r="M16" t="str">
            <v>ECR's: (N1278)120792(23024)121111(24158)121514;</v>
          </cell>
        </row>
        <row r="17">
          <cell r="C17" t="str">
            <v>AC0533</v>
          </cell>
          <cell r="D17" t="str">
            <v>ELBOW, 90 COMP. 1/4ODX3/8NPT</v>
          </cell>
          <cell r="E17" t="str">
            <v>SIZE: 1/4"OD TUBE X 3/8"NOM. PIPE (NPTFE). 90 DEGREE COMPRESSION TYPE ADAPTER. BRASS. A-C #CP-717-561-015;**;</v>
          </cell>
          <cell r="F17" t="str">
            <v>AWS HSC - AC Firepumps</v>
          </cell>
          <cell r="G17" t="str">
            <v>0.0 (Design)</v>
          </cell>
          <cell r="H17" t="str">
            <v>Released-Published</v>
          </cell>
          <cell r="I17" t="str">
            <v>2022-01-22 15:46 EST</v>
          </cell>
          <cell r="J17" t="str">
            <v>2022-01-22 15:46 EST</v>
          </cell>
          <cell r="K17" t="str">
            <v>NA-Not Applicable</v>
          </cell>
          <cell r="L17" t="str">
            <v>Yes</v>
          </cell>
          <cell r="M17" t="str">
            <v>ECR's: (N1278)120792(23024)121111; ESV: 1) IMPERIAL BRASS MFG. CO.------#69-F;      2) WEATHERHEAD CO.--------#69;</v>
          </cell>
        </row>
        <row r="18">
          <cell r="C18" t="str">
            <v>AC0545</v>
          </cell>
          <cell r="D18" t="str">
            <v>O-RING, SIZE 134</v>
          </cell>
          <cell r="E18" t="str">
            <v>SIZE NO. 134;NITRILE POLYMER, 70 DURO, COMPOUND NO. 8307. A-C #CP-751-531-434;NOTE: INDIVIDUAL CONTAINER SUCH AS CARTON, ROLL OR BAG;      SUPPLIED BY VENDOR REQUIRES A LABEL OR TAG INDICATING;      MANUFACTURER, MANUFACTURER'S PART #, DATE OF MANUFACTURE,       COMPOUND # AND B&amp;G PART #.</v>
          </cell>
          <cell r="F18" t="str">
            <v>AWS HSC - AC Firepumps</v>
          </cell>
          <cell r="G18" t="str">
            <v>0.0 (Design)</v>
          </cell>
          <cell r="H18" t="str">
            <v>Released-Published</v>
          </cell>
          <cell r="I18" t="str">
            <v>2022-01-22 15:59 EST</v>
          </cell>
          <cell r="J18" t="str">
            <v>2022-01-22 15:59 EST</v>
          </cell>
          <cell r="K18" t="str">
            <v>FM,NSF,UL/ULC</v>
          </cell>
          <cell r="L18" t="str">
            <v>Yes</v>
          </cell>
          <cell r="M18" t="str">
            <v>ECR's: (17315)072297(22330)071009(23024)121111(24159)052915; ESV: 1) PRECISION RUBBER PROD. CORP.---COMP.#8307, SIZE NO.134-8307;</v>
          </cell>
        </row>
        <row r="19">
          <cell r="C19" t="str">
            <v>AC0580</v>
          </cell>
          <cell r="D19" t="str">
            <v>STUD,SPOL. 1/2"-13UNCX2-1/4LG</v>
          </cell>
          <cell r="E19" t="str">
            <v>SIZE: 1/2"DIA.-13UNCX2-1/4"LG. (CONTINUOUS THREADS PER DWG.);MAT'L : STEEL, ZINC PLATED, (PER DRWG. NOTE #2). A-C #52-108-709-027;</v>
          </cell>
          <cell r="F19" t="str">
            <v>AWS HSC - AC Firepumps</v>
          </cell>
          <cell r="G19" t="str">
            <v>0.1 (Design)</v>
          </cell>
          <cell r="H19" t="str">
            <v>Released-Published</v>
          </cell>
          <cell r="I19" t="str">
            <v>2022-01-23 01:28 EST</v>
          </cell>
          <cell r="J19" t="str">
            <v>2022-01-22 16:06 EST</v>
          </cell>
          <cell r="K19" t="str">
            <v>NA-Not Applicable</v>
          </cell>
          <cell r="L19" t="str">
            <v>No</v>
          </cell>
          <cell r="M19" t="str">
            <v>ECR's: (N1278)120892(23024)121111;</v>
          </cell>
        </row>
        <row r="20">
          <cell r="C20" t="str">
            <v>AC0581</v>
          </cell>
          <cell r="D20" t="str">
            <v>STUD 3/8"-16UNC-2AX2-3/4LG</v>
          </cell>
          <cell r="E20" t="str">
            <v>3/8"-16UNC-2AX2-3/4"LG., CONTINUOUS THREADS, MUST HAVE 55,000 P.S.I. YIELD SAE GR.2 STD. NOTE: TO BE ZINC PLATED PER MIL.-STD. SPEC. QQ-2,       325A CLASS 2, TYPE 2. A-C #52-117-852-002;</v>
          </cell>
          <cell r="F20" t="str">
            <v>AWS HSC - AC Firepumps</v>
          </cell>
          <cell r="G20" t="str">
            <v>0.1 (Design)</v>
          </cell>
          <cell r="H20" t="str">
            <v>Released-Published</v>
          </cell>
          <cell r="I20" t="str">
            <v>2022-01-23 01:28 EST</v>
          </cell>
          <cell r="J20" t="str">
            <v>2022-01-22 16:06 EST</v>
          </cell>
          <cell r="K20" t="str">
            <v>NA-Not Applicable</v>
          </cell>
          <cell r="L20" t="str">
            <v>No</v>
          </cell>
          <cell r="M20" t="str">
            <v>ECR's: (N1278)120892(23024)121111;</v>
          </cell>
        </row>
        <row r="21">
          <cell r="C21" t="str">
            <v>AC0584</v>
          </cell>
          <cell r="D21" t="str">
            <v>NUT, IMPELLER 3/4"-10</v>
          </cell>
          <cell r="E21" t="str">
            <v>FLANGE NUT, 3/4"-10;STEEL, ASTM A307 GRADE "A";MUST BE CHROME OR ZINC DICHROMATE PLATED. A-C #52-119-899-001;</v>
          </cell>
          <cell r="F21" t="str">
            <v>AWS HSC - AC Firepumps</v>
          </cell>
          <cell r="G21" t="str">
            <v>0.1 (Design)</v>
          </cell>
          <cell r="H21" t="str">
            <v>Released-Published</v>
          </cell>
          <cell r="I21" t="str">
            <v>2022-01-23 01:28 EST</v>
          </cell>
          <cell r="J21" t="str">
            <v>2022-01-22 15:59 EST</v>
          </cell>
          <cell r="K21" t="str">
            <v>NA-Not Applicable</v>
          </cell>
          <cell r="L21" t="str">
            <v>No</v>
          </cell>
          <cell r="M21" t="str">
            <v>ECR's: (N1278)120892(23024)121111;</v>
          </cell>
        </row>
        <row r="22">
          <cell r="C22" t="str">
            <v>AC0585</v>
          </cell>
          <cell r="D22" t="str">
            <v>NUT, IMPELLER 1/2"-13</v>
          </cell>
          <cell r="E22" t="str">
            <v>FLANGE NUT, 1/2"-13;STEEL, ASTM A307 GRADE "A";MUST BE CHROME OR ZINC DICHROMATE PLATED. A-C #52-119-899-002;</v>
          </cell>
          <cell r="F22" t="str">
            <v>AWS HSC - AC Firepumps</v>
          </cell>
          <cell r="G22" t="str">
            <v>0.1 (Design)</v>
          </cell>
          <cell r="H22" t="str">
            <v>Released-Published</v>
          </cell>
          <cell r="I22" t="str">
            <v>2022-01-23 01:28 EST</v>
          </cell>
          <cell r="J22" t="str">
            <v>2022-01-22 15:59 EST</v>
          </cell>
          <cell r="K22" t="str">
            <v>NA-Not Applicable</v>
          </cell>
          <cell r="L22" t="str">
            <v>No</v>
          </cell>
          <cell r="M22" t="str">
            <v>ECR's: (N1278)120892(23024)121111;</v>
          </cell>
        </row>
        <row r="23">
          <cell r="C23" t="str">
            <v>AC0689</v>
          </cell>
          <cell r="D23" t="str">
            <v>LABEL, WARNING</v>
          </cell>
          <cell r="E23" t="str">
            <v>WHITE VINYL FILM APPROXIMATELY .004"TK., SUITABLE FOR EXTERIOR-APPLICATIONS WITH PERMANENT PRESSURE SENSITIVE 1 TO 2 MIL-ACRYLIC ADHESIVE FOR USE ON BARE OR PAINTED STEEL OR-CAST IRON. NOTE: DATE OF MANUFACTURE TO APPEAR ON OUTSIDE OF EA. PKG. &amp; BOX!;A-C #52-128-949-001;</v>
          </cell>
          <cell r="F23" t="str">
            <v>AWS HSC - AC Firepumps</v>
          </cell>
          <cell r="G23" t="str">
            <v>0.1 (Design)</v>
          </cell>
          <cell r="H23" t="str">
            <v>Released-Published</v>
          </cell>
          <cell r="I23" t="str">
            <v>2022-01-23 01:28 EST</v>
          </cell>
          <cell r="J23" t="str">
            <v>2022-01-22 15:55 EST</v>
          </cell>
          <cell r="K23" t="str">
            <v>NA-Not Applicable</v>
          </cell>
          <cell r="L23" t="str">
            <v>No</v>
          </cell>
          <cell r="M23" t="str">
            <v>ECR's: (N1278)120992(23024)121111(26521)070721;</v>
          </cell>
        </row>
        <row r="24">
          <cell r="C24" t="str">
            <v>AC1503</v>
          </cell>
          <cell r="D24" t="str">
            <v>THREAD FORM SCREW 1/4X5/8 LG.</v>
          </cell>
          <cell r="E24" t="str">
            <v>1/4"DIA.-20UNC-2AX5/8"LG., THREAD FORMING SCREW, WASHER HD. PER ANSI B18.6.4;STEEL, ZINC PLATED;A-C #CP-611-469-220;**;</v>
          </cell>
          <cell r="F24" t="str">
            <v>AWS HSC - AC Firepumps</v>
          </cell>
          <cell r="G24" t="str">
            <v>0.0 (Design)</v>
          </cell>
          <cell r="H24" t="str">
            <v>Released-Published</v>
          </cell>
          <cell r="I24" t="str">
            <v>2022-01-22 16:07 EST</v>
          </cell>
          <cell r="J24" t="str">
            <v>2022-01-22 16:07 EST</v>
          </cell>
          <cell r="K24" t="str">
            <v>NA-Not Applicable</v>
          </cell>
          <cell r="L24" t="str">
            <v>Yes</v>
          </cell>
          <cell r="M24" t="str">
            <v>ECR's: (15824)041593(23024)121111; ESV: 1) SWAGEFORM-----(THREAD TYPE SW);       2) TAPTITE--------(THREAD TYPE TT);</v>
          </cell>
        </row>
        <row r="25">
          <cell r="C25" t="str">
            <v>AC1634</v>
          </cell>
          <cell r="D25" t="str">
            <v>LOCKWASHER, 1/2"</v>
          </cell>
          <cell r="E25" t="str">
            <v>LOCKWASHER, 1/2";(A) NOMINAL SIZE;REGULAR SPRING LOCKWASHER;STEEL;PER ASA STD B27.1;NOT PLATED;NON-LINKING TYPE;</v>
          </cell>
          <cell r="F25" t="str">
            <v>AWS HSC - AC Firepumps</v>
          </cell>
          <cell r="G25" t="str">
            <v>0.0 (Design)</v>
          </cell>
          <cell r="H25" t="str">
            <v>Released-Published</v>
          </cell>
          <cell r="I25" t="str">
            <v>2022-01-22 15:57 EST</v>
          </cell>
          <cell r="J25" t="str">
            <v>2022-01-22 15:57 EST</v>
          </cell>
          <cell r="K25" t="str">
            <v>NA-Not Applicable</v>
          </cell>
          <cell r="L25" t="str">
            <v>No</v>
          </cell>
          <cell r="M25" t="str">
            <v>ECR's: (N1345)082698(23024)121111;</v>
          </cell>
        </row>
        <row r="26">
          <cell r="C26" t="str">
            <v>AC1641</v>
          </cell>
          <cell r="D26" t="str">
            <v>5/16" SPRING L'WASHER</v>
          </cell>
          <cell r="E26" t="str">
            <v>5/16" SPRING L'WASHER;(A) NOMINAL SIZE;REGULAR SPRING LOCKWASHER;STEEL;PER ASA STD B27.1;NOT PLATED;NON-LINKING TYPE;</v>
          </cell>
          <cell r="F26" t="str">
            <v>AWS HSC - AC Firepumps</v>
          </cell>
          <cell r="G26" t="str">
            <v>0.0 (Design)</v>
          </cell>
          <cell r="H26" t="str">
            <v>Released-Published</v>
          </cell>
          <cell r="I26" t="str">
            <v>2022-01-22 15:37 EST</v>
          </cell>
          <cell r="J26" t="str">
            <v>2022-01-22 15:37 EST</v>
          </cell>
          <cell r="K26" t="str">
            <v>NSF</v>
          </cell>
          <cell r="L26" t="str">
            <v>No</v>
          </cell>
          <cell r="M26" t="str">
            <v>ECR's: (N1345)082698(23024)121111(24159)052915;</v>
          </cell>
        </row>
        <row r="27">
          <cell r="C27" t="str">
            <v>AC1642</v>
          </cell>
          <cell r="D27" t="str">
            <v>SH EXT KEY, 3/16SQ. X 7/8"LG.</v>
          </cell>
          <cell r="E27" t="str">
            <v>KEY, 3/16SQ. X 7/8"LG. KEY, SQUARE PLAIN PARALLEL;BOTH ENDS SQUARE;A-C STANDARD 640;COLD FINISHED STEEL;PER ANSI B17.1;</v>
          </cell>
          <cell r="F27" t="str">
            <v>AWS HSC - AC Firepumps</v>
          </cell>
          <cell r="G27" t="str">
            <v>0.0 (Design)</v>
          </cell>
          <cell r="H27" t="str">
            <v>Released-Published</v>
          </cell>
          <cell r="I27" t="str">
            <v>2022-01-22 16:04 EST</v>
          </cell>
          <cell r="J27" t="str">
            <v>2022-01-22 16:04 EST</v>
          </cell>
          <cell r="K27" t="str">
            <v>NA-Not Applicable</v>
          </cell>
          <cell r="L27" t="str">
            <v>No</v>
          </cell>
          <cell r="M27" t="str">
            <v>ECR's: (N1345)082798(23024)121111;</v>
          </cell>
        </row>
        <row r="28">
          <cell r="C28" t="str">
            <v>AC1648</v>
          </cell>
          <cell r="D28" t="str">
            <v>PLUG 1" SQ HD SOLID</v>
          </cell>
          <cell r="E28" t="str">
            <v>PLUG PIPE 1" NPTE SCREWED PER ANSI B16.14;SQUARE HEAD SOLID TYPE;CARBON STEEL;</v>
          </cell>
          <cell r="F28" t="str">
            <v>AWS HSC - AC Firepumps</v>
          </cell>
          <cell r="G28" t="str">
            <v>0.0 (Design)</v>
          </cell>
          <cell r="H28" t="str">
            <v>Released-Published</v>
          </cell>
          <cell r="I28" t="str">
            <v>2022-01-22 16:00 EST</v>
          </cell>
          <cell r="J28" t="str">
            <v>2022-01-22 16:00 EST</v>
          </cell>
          <cell r="K28" t="str">
            <v>NA-Not Applicable</v>
          </cell>
          <cell r="L28" t="str">
            <v>No</v>
          </cell>
          <cell r="M28" t="str">
            <v>ECR's: (N1345)082698(23024)121111;</v>
          </cell>
        </row>
        <row r="29">
          <cell r="C29" t="str">
            <v>AC2003</v>
          </cell>
          <cell r="D29" t="str">
            <v>FITTING,GREASE 1/4"NPTE</v>
          </cell>
          <cell r="E29" t="str">
            <v>1/4"NPTE SCREWED TYPE 67.5 DEGREE TYPE,SURFACE BALL CHECK;31/32"OVERALL LENGTH STEEL, CASE HARDENED ZINC PLATED.</v>
          </cell>
          <cell r="F29" t="str">
            <v>AWS HSC - AC Firepumps</v>
          </cell>
          <cell r="G29" t="str">
            <v>0.0 (Design)</v>
          </cell>
          <cell r="H29" t="str">
            <v>Released-Published</v>
          </cell>
          <cell r="I29" t="str">
            <v>2022-01-22 15:47 EST</v>
          </cell>
          <cell r="J29" t="str">
            <v>2022-01-22 15:47 EST</v>
          </cell>
          <cell r="K29" t="str">
            <v>NA-Not Applicable</v>
          </cell>
          <cell r="L29" t="str">
            <v>Yes</v>
          </cell>
          <cell r="M29" t="str">
            <v>ECR's: (18396)102299(23024)121111; ESV:1) ALEMITE P/N:1629-B;</v>
          </cell>
        </row>
        <row r="30">
          <cell r="C30" t="str">
            <v>AC2506</v>
          </cell>
          <cell r="D30" t="str">
            <v>WASHER, IMPELLER</v>
          </cell>
          <cell r="E30" t="str">
            <v>WASHER, IMPELLER;17/32 ID X 2.09 OD;MAT'L:  ASTM B16, ALLOY C36000, FREE CUTTING YELLOW BRASS;ALTERNATE APPROVED MATERIALS: JAPANESE STANDARD JIS;H3250 GRADE C3604;</v>
          </cell>
          <cell r="F30" t="str">
            <v>AWS HSC - AC Firepumps</v>
          </cell>
          <cell r="G30" t="str">
            <v>0.1 (Design)</v>
          </cell>
          <cell r="H30" t="str">
            <v>Released-Published</v>
          </cell>
          <cell r="I30" t="str">
            <v>2022-01-23 01:30 EST</v>
          </cell>
          <cell r="J30" t="str">
            <v>2022-01-22 16:11 EST</v>
          </cell>
          <cell r="K30" t="str">
            <v>NA-Not Applicable</v>
          </cell>
          <cell r="L30" t="str">
            <v>No</v>
          </cell>
          <cell r="M30" t="str">
            <v>ECR's: (18550)030800(21571)082807(23024)121111;</v>
          </cell>
        </row>
        <row r="31">
          <cell r="C31" t="str">
            <v>AC2508</v>
          </cell>
          <cell r="D31" t="str">
            <v>KEY, IMPELLER</v>
          </cell>
          <cell r="E31" t="str">
            <v>KEY, .38 WD X .31 HT X 2.50 LG;MAT'L:  ASTM A108, GR. C1018;</v>
          </cell>
          <cell r="F31" t="str">
            <v>AWS HSC - AC Firepumps</v>
          </cell>
          <cell r="G31" t="str">
            <v>0.1 (Design)</v>
          </cell>
          <cell r="H31" t="str">
            <v>Released-Published</v>
          </cell>
          <cell r="I31" t="str">
            <v>2022-01-23 01:30 EST</v>
          </cell>
          <cell r="J31" t="str">
            <v>2022-01-22 15:55 EST</v>
          </cell>
          <cell r="K31" t="str">
            <v>FM,UL/ULC</v>
          </cell>
          <cell r="L31" t="str">
            <v>No</v>
          </cell>
          <cell r="M31" t="str">
            <v>ECR's: (18550)030800(18621)040700(19274)110101(19624)071202(22330)071009;(22490)110310(23024)121111;</v>
          </cell>
        </row>
        <row r="32">
          <cell r="C32" t="str">
            <v>AC2509</v>
          </cell>
          <cell r="D32" t="str">
            <v>SCREW, HHC 1/2-13 X 2-1/2</v>
          </cell>
          <cell r="E32" t="str">
            <v>CAPSCREW, HEX HD 1/2" DIA 13UNC-2A X 2-1/2" LG;MAT'L:  304 OR 305 STAINLESS STEEL;</v>
          </cell>
          <cell r="F32" t="str">
            <v>AWS HSC - AC Firepumps</v>
          </cell>
          <cell r="G32" t="str">
            <v>0.0 (Design)</v>
          </cell>
          <cell r="H32" t="str">
            <v>Released-Published</v>
          </cell>
          <cell r="I32" t="str">
            <v>2022-01-22 16:03 EST</v>
          </cell>
          <cell r="J32" t="str">
            <v>2022-01-22 16:03 EST</v>
          </cell>
          <cell r="K32" t="str">
            <v>NA-Not Applicable</v>
          </cell>
          <cell r="L32" t="str">
            <v>No</v>
          </cell>
          <cell r="M32" t="str">
            <v>ECR's: (18564)030800(23024)121111;</v>
          </cell>
        </row>
        <row r="33">
          <cell r="C33" t="str">
            <v>AC2630</v>
          </cell>
          <cell r="D33" t="str">
            <v>SCREW,SELF TAPPING, 3/8X1.00</v>
          </cell>
          <cell r="E33" t="str">
            <v>SELF-TAPPING SCREW W/HEX WASHER HEAD, 3/8" X 1.00";MAT'L:  ZINC-PLATED HARDENED STEEL W/TYPE B POINT;</v>
          </cell>
          <cell r="F33" t="str">
            <v>AWS HSC - AC Firepumps</v>
          </cell>
          <cell r="G33" t="str">
            <v>0.0 (Design)</v>
          </cell>
          <cell r="H33" t="str">
            <v>Released-Published</v>
          </cell>
          <cell r="I33" t="str">
            <v>2022-01-22 16:03 EST</v>
          </cell>
          <cell r="J33" t="str">
            <v>2022-01-22 16:03 EST</v>
          </cell>
          <cell r="K33" t="str">
            <v>NA-Not Applicable</v>
          </cell>
          <cell r="L33" t="str">
            <v>Yes</v>
          </cell>
          <cell r="M33" t="str">
            <v>ECR's: (18696)051500(23024)121111; ESV:  1) GRAINGER, STOCK NO. 5L828;      2) ROCKFORD, STOCK NO. 6117-624B;</v>
          </cell>
        </row>
        <row r="34">
          <cell r="C34" t="str">
            <v>AC6115</v>
          </cell>
          <cell r="D34" t="str">
            <v>PUSH NUT BOLT RETAINER</v>
          </cell>
          <cell r="E34" t="str">
            <v>PUSH NUT FOR THREAD ROD AND STUD;BLACK PHOSPHATE STEEL;1/2" DIAMETER OF HEAD;1/4" BOLT SIZE;5/64" HEIGHT OF PUSH NUT;</v>
          </cell>
          <cell r="F34" t="str">
            <v>AWS HSC - AC Firepumps</v>
          </cell>
          <cell r="G34" t="str">
            <v>0.1 (Design)</v>
          </cell>
          <cell r="H34" t="str">
            <v>Released-Published</v>
          </cell>
          <cell r="I34" t="str">
            <v>2022-04-19 23:01 EDT</v>
          </cell>
          <cell r="J34" t="str">
            <v>2022-01-22 16:01 EST</v>
          </cell>
          <cell r="K34" t="str">
            <v>NA-Not Applicable</v>
          </cell>
          <cell r="L34" t="str">
            <v>Yes</v>
          </cell>
          <cell r="M34" t="str">
            <v>ECR's: (24402)061215; ESV. MCMASTERCAR.</v>
          </cell>
        </row>
        <row r="35">
          <cell r="C35" t="str">
            <v>AC6116</v>
          </cell>
          <cell r="D35" t="str">
            <v>1/4-20UNC-1/2 HEXHEAD CAPSCREW</v>
          </cell>
          <cell r="E35" t="str">
            <v>1/4-20UNC-2B, STEEL 1/2" LONG;ZINC PLATED GRADE 5 STEEL;HEX HEAD CAP SCREW WITH SERRATED FLANGE;</v>
          </cell>
          <cell r="F35" t="str">
            <v>AWS HSC - AC Firepumps</v>
          </cell>
          <cell r="G35" t="str">
            <v>0.0 (Design)</v>
          </cell>
          <cell r="H35" t="str">
            <v>Released-Published</v>
          </cell>
          <cell r="I35" t="str">
            <v>2022-01-22 15:34 EST</v>
          </cell>
          <cell r="J35" t="str">
            <v>2022-01-22 15:34 EST</v>
          </cell>
          <cell r="K35" t="str">
            <v>NA-Not Applicable</v>
          </cell>
          <cell r="L35" t="str">
            <v>No</v>
          </cell>
          <cell r="M35" t="str">
            <v>ECR's: (24402)061215;</v>
          </cell>
        </row>
        <row r="36">
          <cell r="C36" t="str">
            <v>AC6124</v>
          </cell>
          <cell r="D36" t="str">
            <v>CAP, GREASE FITTING</v>
          </cell>
          <cell r="E36" t="str">
            <v>GREASE FITTING CAP RED COLOR;</v>
          </cell>
          <cell r="F36" t="str">
            <v>AWS HSC - AC Firepumps</v>
          </cell>
          <cell r="G36" t="str">
            <v>0.1 (Design)</v>
          </cell>
          <cell r="H36" t="str">
            <v>Released-Published</v>
          </cell>
          <cell r="I36" t="str">
            <v>2022-04-19 17:59 EDT</v>
          </cell>
          <cell r="J36" t="str">
            <v>2022-01-22 15:42 EST</v>
          </cell>
          <cell r="K36" t="str">
            <v>NA-Not Applicable</v>
          </cell>
          <cell r="L36" t="str">
            <v>Yes</v>
          </cell>
          <cell r="M36" t="str">
            <v>ECR's: (24716)120815; ESV: DYNAFLO FASTENAL - PN: 0425913;</v>
          </cell>
        </row>
        <row r="37">
          <cell r="C37" t="str">
            <v>AC8513</v>
          </cell>
          <cell r="D37" t="str">
            <v>CAPSCREW SKT HD</v>
          </cell>
          <cell r="E37" t="str">
            <v>CAPSCREW SKT HD .25-20UNC X 3/4";.25"-20UNC-2A X 3/4" LG. STEEL;DIMENSIONS TO CONFORM TO ANSI STANDARD B18.2.1;LOW CARBON STEEL, SAE GRADE 2;</v>
          </cell>
          <cell r="F37" t="str">
            <v>AWS HSC - AC Firepumps</v>
          </cell>
          <cell r="G37" t="str">
            <v>0.0 (Design)</v>
          </cell>
          <cell r="H37" t="str">
            <v>Released-Published</v>
          </cell>
          <cell r="I37" t="str">
            <v>2022-01-22 15:42 EST</v>
          </cell>
          <cell r="J37" t="str">
            <v>2022-01-22 15:42 EST</v>
          </cell>
          <cell r="K37" t="str">
            <v>NA-Not Applicable</v>
          </cell>
          <cell r="L37" t="str">
            <v>No</v>
          </cell>
          <cell r="M37" t="str">
            <v>ECR's: (19818)121202(23024)121111;</v>
          </cell>
        </row>
        <row r="38">
          <cell r="C38" t="str">
            <v>AC8669</v>
          </cell>
          <cell r="D38" t="str">
            <v>STUD BOLT 3/8-16 X 3.625</v>
          </cell>
          <cell r="E38" t="str">
            <v>STUD BOLT 3/8" DIA. 16UNC-2A X 3.625" LG. #303;STAINLESS STEEL (WITH CONTINUOUS THREADS);</v>
          </cell>
          <cell r="F38" t="str">
            <v>AWS HSC - AC Firepumps</v>
          </cell>
          <cell r="G38" t="str">
            <v>0.0 (Design)</v>
          </cell>
          <cell r="H38" t="str">
            <v>Released-Published</v>
          </cell>
          <cell r="I38" t="str">
            <v>2022-01-22 16:06 EST</v>
          </cell>
          <cell r="J38" t="str">
            <v>2022-01-22 16:06 EST</v>
          </cell>
          <cell r="K38" t="str">
            <v>NA-Not Applicable</v>
          </cell>
          <cell r="L38" t="str">
            <v>No</v>
          </cell>
          <cell r="M38" t="str">
            <v>ECR's: (20938)050206(23024)121111;</v>
          </cell>
        </row>
        <row r="39">
          <cell r="C39" t="str">
            <v>AM1656800</v>
          </cell>
          <cell r="D39" t="str">
            <v>HARDW. STUD 1/2"</v>
          </cell>
          <cell r="E39" t="str">
            <v>STUD -- CARBON STEEL, BRIGHT ZINC PLATED;1/2 - 13 X 2 - 1/16;MISC HARDW. STUD 1/2"-13X2-1/16";</v>
          </cell>
          <cell r="F39" t="str">
            <v>AWS MG End Suction Pumps</v>
          </cell>
          <cell r="G39" t="str">
            <v>0.1 (Design)</v>
          </cell>
          <cell r="H39" t="str">
            <v>Released-Published</v>
          </cell>
          <cell r="I39" t="str">
            <v>2022-01-23 01:33 EST</v>
          </cell>
          <cell r="J39" t="str">
            <v>2022-01-22 15:49 EST</v>
          </cell>
          <cell r="K39" t="str">
            <v>NA-Not Applicable</v>
          </cell>
          <cell r="L39" t="str">
            <v>No</v>
          </cell>
          <cell r="M39" t="str">
            <v>ECR's: (N1345)082898(23024)121111;</v>
          </cell>
        </row>
        <row r="40">
          <cell r="C40" t="str">
            <v>CP-315-142-373</v>
          </cell>
          <cell r="D40" t="str">
            <v>CAPSCREW SKT HD .25-20UNCX5/8"</v>
          </cell>
          <cell r="E40" t="str">
            <v>.25"-20UNC-2A X 5/8" LG. STEEL;DIMENSIONS TO CONFORM TO ANSI STANDARD B18.2.1. LOW CARBON STEEL, SAE GRADE 2.</v>
          </cell>
          <cell r="F40" t="str">
            <v>AWS HSC - AC Firepumps</v>
          </cell>
          <cell r="G40" t="str">
            <v>0.0 (Design)</v>
          </cell>
          <cell r="H40" t="str">
            <v>Released-Published</v>
          </cell>
          <cell r="I40" t="str">
            <v>2022-01-22 15:42 EST</v>
          </cell>
          <cell r="J40" t="str">
            <v>2022-01-22 15:42 EST</v>
          </cell>
          <cell r="K40" t="str">
            <v>NA-Not Applicable</v>
          </cell>
          <cell r="L40" t="str">
            <v>No</v>
          </cell>
          <cell r="M40" t="str">
            <v>ECR's: (N1346)071299(23024)121111;</v>
          </cell>
        </row>
        <row r="41">
          <cell r="C41" t="str">
            <v>CP-611-271-482</v>
          </cell>
          <cell r="D41" t="str">
            <v>HEX HD .375-16 X 3.000</v>
          </cell>
          <cell r="E41" t="str">
            <v>SPECIAL BIN MIN ORDERING SYSTEM. SEE BUYER FOR DETAILS. SCREW, CAP, HEXAGON HEAD;AMER. STD. B18.2.1;STANDARD THREAD LENGTH;THREAD: UNC-2A;MATERIAL: STEEL, SAE GRADE 2 NOT PLATED;1. FOR GENERAL SPECIFICATION SEE 00-600-025;   STEEL SAE GRADE 2 OR ASTM A-307 WHERE APPLICABLE;   MNC 403 @NONPREFERRED.</v>
          </cell>
          <cell r="F41" t="str">
            <v>AWS HSC - AC Firepumps</v>
          </cell>
          <cell r="G41" t="str">
            <v>0.1 (Design)</v>
          </cell>
          <cell r="H41" t="str">
            <v>Released-Published</v>
          </cell>
          <cell r="I41" t="str">
            <v>2022-01-23 01:34 EST</v>
          </cell>
          <cell r="J41" t="str">
            <v>2022-01-22 15:49 EST</v>
          </cell>
          <cell r="K41" t="str">
            <v>NA-Not Applicable</v>
          </cell>
          <cell r="L41" t="str">
            <v>No</v>
          </cell>
          <cell r="M41" t="str">
            <v>ECR's: (N1346)101098(23024)121111;</v>
          </cell>
        </row>
        <row r="42">
          <cell r="C42" t="str">
            <v>CP-611-271-484</v>
          </cell>
          <cell r="D42" t="str">
            <v>HEX HD .375-16 X 3.500</v>
          </cell>
          <cell r="E42" t="str">
            <v>HHCS .375 X 3.5 = 5 GAL CAN;SCREW, CAP, HEXAGON HEAD;AMER. STD. B18.2.1;STANDARD THREAD LENGTH;THREAD: UNC-2A;MATERIAL: STEEL, SAE GRADE 2 NOT PLATED;1. FOR GENERAL SPECIFICATION SEE 00-600-025;   STEEL SAE GRADE 2 OR ASTM A-307 WHERE APPLICABLE;   MNC 403 @NONPREFERRED.</v>
          </cell>
          <cell r="F42" t="str">
            <v>AWS HSC - AC Firepumps</v>
          </cell>
          <cell r="G42" t="str">
            <v>0.1 (Design)</v>
          </cell>
          <cell r="H42" t="str">
            <v>Released-Published</v>
          </cell>
          <cell r="I42" t="str">
            <v>2022-01-23 01:34 EST</v>
          </cell>
          <cell r="J42" t="str">
            <v>2022-01-22 15:49 EST</v>
          </cell>
          <cell r="K42" t="str">
            <v>NA-Not Applicable</v>
          </cell>
          <cell r="L42" t="str">
            <v>No</v>
          </cell>
          <cell r="M42" t="str">
            <v>ECR's: (N1346)101098(23024)121111;</v>
          </cell>
        </row>
        <row r="43">
          <cell r="C43" t="str">
            <v>CP-611-271-505</v>
          </cell>
          <cell r="D43" t="str">
            <v>HH CAP SCREW</v>
          </cell>
          <cell r="E43" t="str">
            <v>HH CAP SCREW .437-14 X 1 UNC-2A, ST;EEL SAE GR. 2 NOT PLATED;ORIGINAL DWG SENT TO B&amp;G;</v>
          </cell>
          <cell r="F43" t="str">
            <v>AWS HSC - AC Firepumps</v>
          </cell>
          <cell r="G43" t="str">
            <v>0.1 (Design)</v>
          </cell>
          <cell r="H43" t="str">
            <v>Released-Published</v>
          </cell>
          <cell r="I43" t="str">
            <v>2022-01-23 01:34 EST</v>
          </cell>
          <cell r="J43" t="str">
            <v>2022-01-22 15:52 EST</v>
          </cell>
          <cell r="K43" t="str">
            <v>NA-Not Applicable</v>
          </cell>
          <cell r="L43" t="str">
            <v>No</v>
          </cell>
          <cell r="M43" t="str">
            <v>ECR's: (23024)121111;</v>
          </cell>
        </row>
        <row r="44">
          <cell r="C44" t="str">
            <v>CP-611-271-545</v>
          </cell>
          <cell r="D44" t="str">
            <v>CAPSCREW HH .50-13UNCX1.125LG</v>
          </cell>
          <cell r="E44" t="str">
            <v>HEX HD CAPSCREW;.500" DIA.-13UNC-2A X 1.125" LG (STD THREAD LENGTH);DIMENSIONS TO CONFORM TO ANSI STANDARD B18.2.1;MAT'L:  STEEL, SAE GRADE 2, NOT PLATED;</v>
          </cell>
          <cell r="F44" t="str">
            <v>AWS HSC - AC Firepumps</v>
          </cell>
          <cell r="G44" t="str">
            <v>0.1 (Design)</v>
          </cell>
          <cell r="H44" t="str">
            <v>Released-Published</v>
          </cell>
          <cell r="I44" t="str">
            <v>2022-01-23 01:34 EST</v>
          </cell>
          <cell r="J44" t="str">
            <v>2022-01-22 15:42 EST</v>
          </cell>
          <cell r="K44" t="str">
            <v>NA-Not Applicable</v>
          </cell>
          <cell r="L44" t="str">
            <v>No</v>
          </cell>
          <cell r="M44" t="str">
            <v>ECR's: (N1347)020299(23024)121111;</v>
          </cell>
        </row>
        <row r="45">
          <cell r="C45" t="str">
            <v>CP-611-271-655</v>
          </cell>
          <cell r="D45" t="str">
            <v>HHS .750-10 X 2.500</v>
          </cell>
          <cell r="E45" t="str">
            <v>SPECIAL BIN MIN ORDERING SYSTEM. SEE BUYER FOR DETAILS. SCREW, CAP, HEXAGON HEAD;AMER. STD. B18.2.1;STANDARD THREAD LENGTH;THREAD: UNC-2A;MATERIAL: STEEL, SAE GRADE 2 NOT PLATED;1. FOR GENERAL SPECIFICATION SEE 00-600-025;   STEEL SAE GRADE 2 OR ASTM A-307 WHERE APPLICABLE;   MNC 403 @NONPREFERRED.</v>
          </cell>
          <cell r="F45" t="str">
            <v>AWS HSC - AC Firepumps</v>
          </cell>
          <cell r="G45" t="str">
            <v>0.1 (Design)</v>
          </cell>
          <cell r="H45" t="str">
            <v>Released-Published</v>
          </cell>
          <cell r="I45" t="str">
            <v>2022-01-23 01:34 EST</v>
          </cell>
          <cell r="J45" t="str">
            <v>2022-01-22 15:52 EST</v>
          </cell>
          <cell r="K45" t="str">
            <v>NA-Not Applicable</v>
          </cell>
          <cell r="L45" t="str">
            <v>No</v>
          </cell>
          <cell r="M45" t="str">
            <v>ECR's: (N1346)101098(23024)121111;</v>
          </cell>
        </row>
        <row r="46">
          <cell r="C46" t="str">
            <v>CP-611-314-613</v>
          </cell>
          <cell r="D46" t="str">
            <v>SCREW, .625-11UNC-2A,1.750LG.</v>
          </cell>
          <cell r="E46" t="str">
            <v>SPECIAL BIN MIN ORDERING SYSTEM. SEE BUYER FOR DETAILS. SCREW, CAP - HEXAGON HEAD, .625-11UNC-2A X 1.750"LG. AMER. STANDARD B18.2.1;STANDARD THREAD LENGTH;THREAD: UNC-2A;MATERIAL: STEEL, SAE GRADE 5;FINISH: PLAIN;</v>
          </cell>
          <cell r="F46" t="str">
            <v>AWS HSC - AC Firepumps</v>
          </cell>
          <cell r="G46" t="str">
            <v>0.1 (Design)</v>
          </cell>
          <cell r="H46" t="str">
            <v>Released-Published</v>
          </cell>
          <cell r="I46" t="str">
            <v>2022-01-23 01:34 EST</v>
          </cell>
          <cell r="J46" t="str">
            <v>2022-01-22 16:03 EST</v>
          </cell>
          <cell r="K46" t="str">
            <v>FM,UL/ULC</v>
          </cell>
          <cell r="L46" t="str">
            <v>No</v>
          </cell>
          <cell r="M46" t="str">
            <v>ECR's: (N1346)101098(22330)071009(23024)121111;</v>
          </cell>
        </row>
        <row r="47">
          <cell r="C47" t="str">
            <v>CP-611-314-615</v>
          </cell>
          <cell r="D47" t="str">
            <v>HHS .625-11UNC-2A X 2"LG.</v>
          </cell>
          <cell r="E47" t="str">
            <v>SPECIAL BIN MIN ORDERING SYSTEM. SEE BUYER FOR DETAILS. SCREW, CAP - HEXAGON HEAD, .625-11UNC-2A X 2.000"LG. AMER. STANDARD B18.2.1;STANDARD THREAD LENGTH;THREAD: UNC-2A;MATERIAL: STEEL, SAE GRADE 5;FINISH: PLAIN;</v>
          </cell>
          <cell r="F47" t="str">
            <v>AWS HSC - AC Firepumps</v>
          </cell>
          <cell r="G47" t="str">
            <v>0.1 (Design)</v>
          </cell>
          <cell r="H47" t="str">
            <v>Released-Published</v>
          </cell>
          <cell r="I47" t="str">
            <v>2022-01-23 01:34 EST</v>
          </cell>
          <cell r="J47" t="str">
            <v>2022-01-22 15:52 EST</v>
          </cell>
          <cell r="K47" t="str">
            <v>FM,UL/ULC</v>
          </cell>
          <cell r="L47" t="str">
            <v>No</v>
          </cell>
          <cell r="M47" t="str">
            <v>ECR's: (N1346)101098(22330)071009(23024)121111;</v>
          </cell>
        </row>
        <row r="48">
          <cell r="C48" t="str">
            <v>CP-611-314-617</v>
          </cell>
          <cell r="D48" t="str">
            <v>SCREW CAP, .625-11UNC-2AX2.5LG</v>
          </cell>
          <cell r="E48" t="str">
            <v>SPECIAL BIN MIN ORDERING SYSTEM. SEE BUYER FOR DETAILS. SCREW, CAP - HEXAGON HEAD, .625-11UNC-2A X 2.500"LG. AMER. STANDARD B18.2.1;STANDARD THREAD LENGTH;THREAD: UNC-2A;MATERIAL: STEEL, SAE GRADE 5;FINISH: PLAIN;</v>
          </cell>
          <cell r="F48" t="str">
            <v>AWS HSC - AC Firepumps</v>
          </cell>
          <cell r="G48" t="str">
            <v>0.1 (Design)</v>
          </cell>
          <cell r="H48" t="str">
            <v>Released-Published</v>
          </cell>
          <cell r="I48" t="str">
            <v>2022-01-23 01:34 EST</v>
          </cell>
          <cell r="J48" t="str">
            <v>2022-01-22 16:03 EST</v>
          </cell>
          <cell r="K48" t="str">
            <v>FM,UL/ULC</v>
          </cell>
          <cell r="L48" t="str">
            <v>No</v>
          </cell>
          <cell r="M48" t="str">
            <v>ECR's: (N1346)101098(22330)071009(23024)121111;</v>
          </cell>
        </row>
        <row r="49">
          <cell r="C49" t="str">
            <v>CP-611-325-467</v>
          </cell>
          <cell r="D49" t="str">
            <v>HH CAP SCREW</v>
          </cell>
          <cell r="E49" t="str">
            <v>HH CAP SCREW  3/8 X 1 1/8    AMER.S;TD. B18.2.1, UNC-2A THREAD;STAINLESS STEEL  302 OR 304, NOT PL;ATED;ORIGINAL DWG SENT TO B&amp;G;</v>
          </cell>
          <cell r="F49" t="str">
            <v>AWS HSC - AC Firepumps</v>
          </cell>
          <cell r="G49" t="str">
            <v>0.1 (Design)</v>
          </cell>
          <cell r="H49" t="str">
            <v>Released-Published</v>
          </cell>
          <cell r="I49" t="str">
            <v>2022-01-23 01:34 EST</v>
          </cell>
          <cell r="J49" t="str">
            <v>2022-01-22 15:52 EST</v>
          </cell>
          <cell r="K49" t="str">
            <v>NA-Not Applicable</v>
          </cell>
          <cell r="L49" t="str">
            <v>No</v>
          </cell>
          <cell r="M49" t="str">
            <v>ECR's: (23024)121111;</v>
          </cell>
        </row>
        <row r="50">
          <cell r="C50" t="str">
            <v>CP-611-327-472</v>
          </cell>
          <cell r="D50" t="str">
            <v>HHS .375-16UNC-2A X 1.75"LG.</v>
          </cell>
          <cell r="E50" t="str">
            <v>HEX HEAD CAP SCREW, 3/8-16UNC-2A X 1.75"LG. AMER. STD. B18.2.1;STD. THREAD LENGTH;MATERIAL-STAINLESS STEEL AISI TYPE 316;FINISH: NOT PLATED;</v>
          </cell>
          <cell r="F50" t="str">
            <v>AWS HSC - AC Firepumps</v>
          </cell>
          <cell r="G50" t="str">
            <v>0.1 (Design)</v>
          </cell>
          <cell r="H50" t="str">
            <v>Released-Published</v>
          </cell>
          <cell r="I50" t="str">
            <v>2022-01-23 01:34 EST</v>
          </cell>
          <cell r="J50" t="str">
            <v>2022-01-22 15:52 EST</v>
          </cell>
          <cell r="K50" t="str">
            <v>NA-Not Applicable</v>
          </cell>
          <cell r="L50" t="str">
            <v>No</v>
          </cell>
          <cell r="M50" t="str">
            <v>ECR's: (N1346)101098(23024)121111;</v>
          </cell>
        </row>
        <row r="51">
          <cell r="C51" t="str">
            <v>CP-611-327-480</v>
          </cell>
          <cell r="D51" t="str">
            <v>HHS .375-16UNC-2A X 2.75"LG.</v>
          </cell>
          <cell r="E51" t="str">
            <v>HEX HD CAP SCREW .375-16UNC-2A X 2.75"LG. AMER. STD. B18.2.1;STD. THREAD LENGTH;MATERIAL-STAINLESS STEEL AISI TYPE 316;FINISH: NOT PLATED;</v>
          </cell>
          <cell r="F51" t="str">
            <v>AWS HSC - AC Firepumps</v>
          </cell>
          <cell r="G51" t="str">
            <v>0.1 (Design)</v>
          </cell>
          <cell r="H51" t="str">
            <v>Released-Published</v>
          </cell>
          <cell r="I51" t="str">
            <v>2022-01-23 01:34 EST</v>
          </cell>
          <cell r="J51" t="str">
            <v>2022-01-22 15:52 EST</v>
          </cell>
          <cell r="K51" t="str">
            <v>NA-Not Applicable</v>
          </cell>
          <cell r="L51" t="str">
            <v>No</v>
          </cell>
          <cell r="M51" t="str">
            <v>ECR's: (N1346)101098(23024)121111;</v>
          </cell>
        </row>
        <row r="52">
          <cell r="C52" t="str">
            <v>CP-611-327-552</v>
          </cell>
          <cell r="D52" t="str">
            <v>HHS .500-13UNC-2A X 2"LG.</v>
          </cell>
          <cell r="E52" t="str">
            <v>HEX HD CAP SCREW .500-13UNC-2A X 2.00"LG. AMER. STD. B18.2.1;STD. THREAD LENGTH;MATERIAL-STAINLESS STEEL AISI TYPE 316;FINISH: NOT PLATED;</v>
          </cell>
          <cell r="F52" t="str">
            <v>AWS HSC - AC Firepumps</v>
          </cell>
          <cell r="G52" t="str">
            <v>0.2 (Design)</v>
          </cell>
          <cell r="H52" t="str">
            <v>Released-Published</v>
          </cell>
          <cell r="I52" t="str">
            <v>2022-04-28 22:41 EDT</v>
          </cell>
          <cell r="J52" t="str">
            <v>2022-01-22 15:52 EST</v>
          </cell>
          <cell r="K52" t="str">
            <v>NA-Not Applicable</v>
          </cell>
          <cell r="L52" t="str">
            <v>No</v>
          </cell>
          <cell r="M52" t="str">
            <v>ECR's: (N1346)101098(23024)121111(26989)032522;</v>
          </cell>
        </row>
        <row r="53">
          <cell r="C53" t="str">
            <v>CP-617-039-366</v>
          </cell>
          <cell r="D53" t="str">
            <v>SCREW SET HEX .250-20X.188</v>
          </cell>
          <cell r="E53" t="str">
            <v>SCREW SET, HEX SOCKET, HEADLESS CUP POINT .250-20X.188;PER ASA STANDARD B18.3;STAINLESS STEEL AISI 316;THREADS TO BE PER UNC-3A;NOT PLATED;</v>
          </cell>
          <cell r="F53" t="str">
            <v>AWS HSC - AC Firepumps</v>
          </cell>
          <cell r="G53" t="str">
            <v>0.1 (Design)</v>
          </cell>
          <cell r="H53" t="str">
            <v>Released-Published</v>
          </cell>
          <cell r="I53" t="str">
            <v>2022-01-23 01:34 EST</v>
          </cell>
          <cell r="J53" t="str">
            <v>2022-01-22 16:03 EST</v>
          </cell>
          <cell r="K53" t="str">
            <v>FM,UL/ULC</v>
          </cell>
          <cell r="L53" t="str">
            <v>No</v>
          </cell>
          <cell r="M53" t="str">
            <v>ECR's: (N1346)120398(22330)071009(23024)121111;</v>
          </cell>
        </row>
        <row r="54">
          <cell r="C54" t="str">
            <v>CP-617-039-367</v>
          </cell>
          <cell r="D54" t="str">
            <v>SCREW SET, .25-20UNC-3AX.25LG.</v>
          </cell>
          <cell r="E54" t="str">
            <v>SCREW SET, HEX SOCKET, .250-20UNC-3A X .25"LG. HEADLESS CUP POINT;PER ASA STD B18.3;STAINLESS STEEL AISI 316 NOT PLATED.</v>
          </cell>
          <cell r="F54" t="str">
            <v>AWS HSC - AC Firepumps</v>
          </cell>
          <cell r="G54" t="str">
            <v>0.1 (Design)</v>
          </cell>
          <cell r="H54" t="str">
            <v>Released-Published</v>
          </cell>
          <cell r="I54" t="str">
            <v>2022-01-23 01:34 EST</v>
          </cell>
          <cell r="J54" t="str">
            <v>2022-01-22 16:03 EST</v>
          </cell>
          <cell r="K54" t="str">
            <v>NA-Not Applicable</v>
          </cell>
          <cell r="L54" t="str">
            <v>No</v>
          </cell>
          <cell r="M54" t="str">
            <v>ECR's: (N1346)101298(23024)121111;</v>
          </cell>
        </row>
        <row r="55">
          <cell r="C55" t="str">
            <v>CP-617-511-688</v>
          </cell>
          <cell r="D55" t="str">
            <v>C'SCREW, .875 X 2"LG.</v>
          </cell>
          <cell r="E55" t="str">
            <v>SPECIAL BIN MIN ORDERING SYSTEM. SEE BUYER FOR DETAILS. SCREW, CAP COUNTERBORE, .875 X 2"LG. (1960 SERIES);STEEL SAE 8637;UNC-3A;NOT PLATED;</v>
          </cell>
          <cell r="F55" t="str">
            <v>AWS HSC - AC Firepumps</v>
          </cell>
          <cell r="G55" t="str">
            <v>0.1 (Design)</v>
          </cell>
          <cell r="H55" t="str">
            <v>Released-Published</v>
          </cell>
          <cell r="I55" t="str">
            <v>2022-01-23 01:34 EST</v>
          </cell>
          <cell r="J55" t="str">
            <v>2022-01-22 15:45 EST</v>
          </cell>
          <cell r="K55" t="str">
            <v>FM,UL/ULC</v>
          </cell>
          <cell r="L55" t="str">
            <v>Yes</v>
          </cell>
          <cell r="M55" t="str">
            <v>ECR's: (N1346)101298(22330)071009(23024)121111; ESV: FERRY CAP AND SET SCREW CO.</v>
          </cell>
        </row>
        <row r="56">
          <cell r="C56" t="str">
            <v>CP-617-511-691</v>
          </cell>
          <cell r="D56" t="str">
            <v>C'SCREW, .875 X 2.75"LG.</v>
          </cell>
          <cell r="E56" t="str">
            <v>SPECIAL BIN MIN ORDERING SYSTEM. SEE BUYER FOR DETAILS. SCREW, CAP COUNTERBORE, .875 X 2.75"LG. (1960 SERIES);STEEL SAE 8637;UNC-3A;NOT PLATED;</v>
          </cell>
          <cell r="F56" t="str">
            <v>AWS HSC - AC Firepumps</v>
          </cell>
          <cell r="G56" t="str">
            <v>0.2 (Design)</v>
          </cell>
          <cell r="H56" t="str">
            <v>Released-Published</v>
          </cell>
          <cell r="I56" t="str">
            <v>2022-04-19 23:01 EDT</v>
          </cell>
          <cell r="J56" t="str">
            <v>2022-01-22 15:45 EST</v>
          </cell>
          <cell r="K56" t="str">
            <v>FM,UL/ULC</v>
          </cell>
          <cell r="L56" t="str">
            <v>Yes</v>
          </cell>
          <cell r="M56" t="str">
            <v>ECR's: (N1346)101298(22330)071009(23024)121111; ESV: FERRY CAP AND SET SCREW CO.</v>
          </cell>
        </row>
        <row r="57">
          <cell r="C57" t="str">
            <v>CP-631-041-112</v>
          </cell>
          <cell r="D57" t="str">
            <v>NUT, .75-10UNC-2B</v>
          </cell>
          <cell r="E57" t="str">
            <v>SPECIAL BIN MIN ORDERING SYSTEM. SEE BUYER FOR DETAILS. NUT, HVY HEX., .750-10UNC-2B;SAE GRADE 2 STEEL NUT;PER AMERICAN STD B18.2.2;NOT PLATED.</v>
          </cell>
          <cell r="F57" t="str">
            <v>AWS HSC - AC Firepumps</v>
          </cell>
          <cell r="G57" t="str">
            <v>0.1 (Design)</v>
          </cell>
          <cell r="H57" t="str">
            <v>Released-Published</v>
          </cell>
          <cell r="I57" t="str">
            <v>2022-01-23 01:35 EST</v>
          </cell>
          <cell r="J57" t="str">
            <v>2022-01-22 15:59 EST</v>
          </cell>
          <cell r="K57" t="str">
            <v>NA-Not Applicable</v>
          </cell>
          <cell r="L57" t="str">
            <v>No</v>
          </cell>
          <cell r="M57" t="str">
            <v>ECR's: (N1346)101398(23024)121111;</v>
          </cell>
        </row>
        <row r="58">
          <cell r="C58" t="str">
            <v>CP-651-001-214</v>
          </cell>
          <cell r="D58" t="str">
            <v>WASHER,.406 X .812 X .065TK.</v>
          </cell>
          <cell r="E58" t="str">
            <v>WASHER PLAIN ROUND STEEL;NOT PLATED;.406 I.D. X .812 O.D. X .065 THICK.</v>
          </cell>
          <cell r="F58" t="str">
            <v>AWS HSC - AC Firepumps</v>
          </cell>
          <cell r="G58" t="str">
            <v>0.1 (Design)</v>
          </cell>
          <cell r="H58" t="str">
            <v>Released-Published</v>
          </cell>
          <cell r="I58" t="str">
            <v>2022-01-23 01:35 EST</v>
          </cell>
          <cell r="J58" t="str">
            <v>2022-01-22 16:11 EST</v>
          </cell>
          <cell r="K58" t="str">
            <v>NA-Not Applicable</v>
          </cell>
          <cell r="L58" t="str">
            <v>No</v>
          </cell>
          <cell r="M58" t="str">
            <v>ECR's: (N1346)101398(23024)121111;</v>
          </cell>
        </row>
        <row r="59">
          <cell r="C59" t="str">
            <v>CP-651-001-412</v>
          </cell>
          <cell r="D59" t="str">
            <v>WASHER,.812 X 2.0 X .148TK.</v>
          </cell>
          <cell r="E59" t="str">
            <v>WASHER PLAIN ROUND STEEL;NOT PLATED;.812 I.D. X 2.0 O.D. X .148 THICK.</v>
          </cell>
          <cell r="F59" t="str">
            <v>AWS HSC - AC Firepumps</v>
          </cell>
          <cell r="G59" t="str">
            <v>0.1 (Design)</v>
          </cell>
          <cell r="H59" t="str">
            <v>Released-Published</v>
          </cell>
          <cell r="I59" t="str">
            <v>2022-01-23 01:35 EST</v>
          </cell>
          <cell r="J59" t="str">
            <v>2022-01-22 16:11 EST</v>
          </cell>
          <cell r="K59" t="str">
            <v>NA-Not Applicable</v>
          </cell>
          <cell r="L59" t="str">
            <v>No</v>
          </cell>
          <cell r="M59" t="str">
            <v>ECR's: (N1346)101398(23024)121111(24630)031820;</v>
          </cell>
        </row>
        <row r="60">
          <cell r="C60" t="str">
            <v>CP-655-011-044</v>
          </cell>
          <cell r="D60" t="str">
            <v>LOCKWASHER, 3/4"</v>
          </cell>
          <cell r="E60" t="str">
            <v>SPECIAL BIN MIN ORDERING SYSTEM. SEE BUYER FOR DETAILS. NOMINAL SIZE, 3/4";REGULAR SPRING LOCKWASHER;STEEL PER ASA STD B27.1;NOT PLATED;NON-LINKING TYPE;</v>
          </cell>
          <cell r="F60" t="str">
            <v>AWS HSC - AC Firepumps</v>
          </cell>
          <cell r="G60" t="str">
            <v>0.1 (Design)</v>
          </cell>
          <cell r="H60" t="str">
            <v>Released-Published</v>
          </cell>
          <cell r="I60" t="str">
            <v>2022-01-23 01:35 EST</v>
          </cell>
          <cell r="J60" t="str">
            <v>2022-01-22 15:57 EST</v>
          </cell>
          <cell r="K60" t="str">
            <v>NA-Not Applicable</v>
          </cell>
          <cell r="L60" t="str">
            <v>No</v>
          </cell>
          <cell r="M60" t="str">
            <v>ECR's: (N1346)101398(23024)121111;</v>
          </cell>
        </row>
        <row r="61">
          <cell r="C61" t="str">
            <v>CP-671-181-371</v>
          </cell>
          <cell r="D61" t="str">
            <v>SPIROL PIN</v>
          </cell>
          <cell r="E61" t="str">
            <v>SPIROL PIN MED. DUTY 1/4" DIA. X 1/2" LONG;OK TO SUPPLY HEAVY DUTY;OILED FINISH SS #302;</v>
          </cell>
          <cell r="F61" t="str">
            <v>AWS HSC - AC Firepumps</v>
          </cell>
          <cell r="G61" t="str">
            <v>0.1 (Design)</v>
          </cell>
          <cell r="H61" t="str">
            <v>Released-Published</v>
          </cell>
          <cell r="I61" t="str">
            <v>2022-01-23 01:35 EST</v>
          </cell>
          <cell r="J61" t="str">
            <v>2022-01-22 16:05 EST</v>
          </cell>
          <cell r="K61" t="str">
            <v>FM,UL/ULC</v>
          </cell>
          <cell r="L61" t="str">
            <v>No</v>
          </cell>
          <cell r="M61" t="str">
            <v>ECR's: (N1346)101498(18708)061400(19899)031403(23024)121111(24630)031820;</v>
          </cell>
        </row>
        <row r="62">
          <cell r="C62" t="str">
            <v>CP-677-103-183</v>
          </cell>
          <cell r="D62" t="str">
            <v>KEY, .312"SQ. X 2"LG.</v>
          </cell>
          <cell r="E62" t="str">
            <v>KEY, SQ PLAIN PARALLEL BOTH ENDS SQUARE, A-C STANDARD 640 CRS;PER ANSI B17.1   .312" SQ. X 2.000" LG. UNDERSIZE;</v>
          </cell>
          <cell r="F62" t="str">
            <v>AWS HSC - AC Firepumps</v>
          </cell>
          <cell r="G62" t="str">
            <v>0.1 (Design)</v>
          </cell>
          <cell r="H62" t="str">
            <v>Released-Published</v>
          </cell>
          <cell r="I62" t="str">
            <v>2022-01-23 01:35 EST</v>
          </cell>
          <cell r="J62" t="str">
            <v>2022-01-22 15:55 EST</v>
          </cell>
          <cell r="K62" t="str">
            <v>FM,NSF,UL/ULC</v>
          </cell>
          <cell r="L62" t="str">
            <v>No</v>
          </cell>
          <cell r="M62" t="str">
            <v>ECR's: (N1346)101598(22330)071009(23024)121111(24159)052915;</v>
          </cell>
        </row>
        <row r="63">
          <cell r="C63" t="str">
            <v>CP-677-103-238</v>
          </cell>
          <cell r="D63" t="str">
            <v>KEY, .375"SQ. X 3.25"LG.</v>
          </cell>
          <cell r="E63" t="str">
            <v>C.R.S. KEY-TO CONFORM TO USAS B17.1-1967;3/8" SQ. X 3-1/4" LG. SQ. PLAIN PARALLEL;</v>
          </cell>
          <cell r="F63" t="str">
            <v>AWS HSC - AC Firepumps</v>
          </cell>
          <cell r="G63" t="str">
            <v>0.1 (Design)</v>
          </cell>
          <cell r="H63" t="str">
            <v>Released-Published</v>
          </cell>
          <cell r="I63" t="str">
            <v>2022-01-23 01:35 EST</v>
          </cell>
          <cell r="J63" t="str">
            <v>2022-01-22 15:55 EST</v>
          </cell>
          <cell r="K63" t="str">
            <v>FM,UL/ULC</v>
          </cell>
          <cell r="L63" t="str">
            <v>No</v>
          </cell>
          <cell r="M63" t="str">
            <v>ECR's: (N1346)101598(22330)071009(23024)121111;</v>
          </cell>
        </row>
        <row r="64">
          <cell r="C64" t="str">
            <v>CP-711-315-002</v>
          </cell>
          <cell r="D64" t="str">
            <v>ELBOW, 90 DEG. SCREWED PIPE</v>
          </cell>
          <cell r="E64" t="str">
            <v>1/4" NPTI;SCREWED PIPE 90 DEG. ELBOW;PER AMER STD B16.3;150 LB. STEAM BANDED;MALLEABLE IRON;TYPE OF FINISH: BLACK;</v>
          </cell>
          <cell r="F64" t="str">
            <v>AWS HSC - AC Firepumps</v>
          </cell>
          <cell r="G64" t="str">
            <v>0.0 (Design)</v>
          </cell>
          <cell r="H64" t="str">
            <v>Released-Published</v>
          </cell>
          <cell r="I64" t="str">
            <v>2022-01-22 15:46 EST</v>
          </cell>
          <cell r="J64" t="str">
            <v>2022-01-22 15:46 EST</v>
          </cell>
          <cell r="K64" t="str">
            <v>NA-Not Applicable</v>
          </cell>
          <cell r="L64" t="str">
            <v>No</v>
          </cell>
          <cell r="M64" t="str">
            <v>ECR's: (N1346)101798(23024)121111;</v>
          </cell>
        </row>
        <row r="65">
          <cell r="C65" t="str">
            <v>CP-711-523-004</v>
          </cell>
          <cell r="D65" t="str">
            <v>PIPE PLUG, BRASS SQ HEAD SOLID</v>
          </cell>
          <cell r="E65" t="str">
            <v>1/2" NPTE X .563" WIDTH ACROSS FLATS MAX. SCREWED PIPE PLUG;PER AMER STD B16.15;SQUARE HEAD, SOLID TYPE;BRASS, ROUGH;</v>
          </cell>
          <cell r="F65" t="str">
            <v>AWS HSC - AC Firepumps</v>
          </cell>
          <cell r="G65" t="str">
            <v>0.1 (Design)</v>
          </cell>
          <cell r="H65" t="str">
            <v>Released-Published</v>
          </cell>
          <cell r="I65" t="str">
            <v>2022-01-23 01:35 EST</v>
          </cell>
          <cell r="J65" t="str">
            <v>2022-01-22 16:00 EST</v>
          </cell>
          <cell r="K65" t="str">
            <v>NA-Not Applicable</v>
          </cell>
          <cell r="L65" t="str">
            <v>No</v>
          </cell>
          <cell r="M65" t="str">
            <v>ECR's: (N1346)101798(23024)121111;</v>
          </cell>
        </row>
        <row r="66">
          <cell r="C66" t="str">
            <v>CP-733-105-029</v>
          </cell>
          <cell r="D66" t="str">
            <v>FITTING, 1/4" X 29/32" LG.</v>
          </cell>
          <cell r="E66" t="str">
            <v>1/4" NPTE;SCREWED LUBRICATING FITTING;STRAIGHT TYPE, SURFACE BALL CHECK;29/32" OVERALL LENGTH;STEEL, CASE HARDENED;ZINC PLATED;ALEMITE # 1627-B;</v>
          </cell>
          <cell r="F66" t="str">
            <v>AWS HSC - AC Firepumps</v>
          </cell>
          <cell r="G66" t="str">
            <v>0.1 (Design)</v>
          </cell>
          <cell r="H66" t="str">
            <v>Released-Published</v>
          </cell>
          <cell r="I66" t="str">
            <v>2022-01-23 01:35 EST</v>
          </cell>
          <cell r="J66" t="str">
            <v>2022-01-22 15:47 EST</v>
          </cell>
          <cell r="K66" t="str">
            <v>NA-Not Applicable</v>
          </cell>
          <cell r="L66" t="str">
            <v>No</v>
          </cell>
          <cell r="M66" t="str">
            <v>ECR's: (N1346)101798(23024)121111;</v>
          </cell>
        </row>
        <row r="67">
          <cell r="C67" t="str">
            <v>CP-819-111-206</v>
          </cell>
          <cell r="D67" t="str">
            <v>LOCKNUT, BRG.</v>
          </cell>
          <cell r="E67" t="str">
            <v>LOCKNUTS, FOR;BALL AND ROLLER BEARING;PER AMER STD B3-9;CARBON STEEL;ASA NO. N-06;</v>
          </cell>
          <cell r="F67" t="str">
            <v>AWS HSC - AC Firepumps</v>
          </cell>
          <cell r="G67" t="str">
            <v>0.1 (Design)</v>
          </cell>
          <cell r="H67" t="str">
            <v>Released-Published</v>
          </cell>
          <cell r="I67" t="str">
            <v>2022-01-23 01:36 EST</v>
          </cell>
          <cell r="J67" t="str">
            <v>2022-01-22 15:56 EST</v>
          </cell>
          <cell r="K67" t="str">
            <v>NA-Not Applicable</v>
          </cell>
          <cell r="L67" t="str">
            <v>No</v>
          </cell>
          <cell r="M67" t="str">
            <v>ECR's: (N1346)102198(23024)121111;</v>
          </cell>
        </row>
        <row r="68">
          <cell r="C68" t="str">
            <v>CP-819-111-207</v>
          </cell>
          <cell r="D68" t="str">
            <v>LOCKNUT, BRG.</v>
          </cell>
          <cell r="E68" t="str">
            <v>LOCKNUTS, FOR BALL AND ROLLER;BRG. PER AMER. STD B3-9 CARBON STEEL;ASA NO. N-07;</v>
          </cell>
          <cell r="F68" t="str">
            <v>AWS HSC - AC Firepumps</v>
          </cell>
          <cell r="G68" t="str">
            <v>0.1 (Design)</v>
          </cell>
          <cell r="H68" t="str">
            <v>Released-Published</v>
          </cell>
          <cell r="I68" t="str">
            <v>2022-01-23 01:36 EST</v>
          </cell>
          <cell r="J68" t="str">
            <v>2022-01-22 15:56 EST</v>
          </cell>
          <cell r="K68" t="str">
            <v>NA-Not Applicable</v>
          </cell>
          <cell r="L68" t="str">
            <v>No</v>
          </cell>
          <cell r="M68" t="str">
            <v>ECR's: (N1346)102198(23024)121111;</v>
          </cell>
        </row>
        <row r="69">
          <cell r="C69" t="str">
            <v>CP-819-111-208</v>
          </cell>
          <cell r="D69" t="str">
            <v>LOCKNUT, BRG.</v>
          </cell>
          <cell r="E69" t="str">
            <v>LOCKNUTS, FOR;BALL AND ROLLER BEARING;PER AMER STD B3-9;CARBON STEEL;ASA NO. N-08;</v>
          </cell>
          <cell r="F69" t="str">
            <v>AWS HSC - AC Firepumps</v>
          </cell>
          <cell r="G69" t="str">
            <v>0.1 (Design)</v>
          </cell>
          <cell r="H69" t="str">
            <v>Released-Published</v>
          </cell>
          <cell r="I69" t="str">
            <v>2022-01-23 01:36 EST</v>
          </cell>
          <cell r="J69" t="str">
            <v>2022-01-22 15:56 EST</v>
          </cell>
          <cell r="K69" t="str">
            <v>NA-Not Applicable</v>
          </cell>
          <cell r="L69" t="str">
            <v>No</v>
          </cell>
          <cell r="M69" t="str">
            <v>ECR's: (N1346)102198(23024)121111;</v>
          </cell>
        </row>
        <row r="70">
          <cell r="C70" t="str">
            <v>CP-819-111-209</v>
          </cell>
          <cell r="D70" t="str">
            <v>LOCKNUT BRG</v>
          </cell>
          <cell r="E70" t="str">
            <v>LOCKNUTS, FOR BALL AND ROLLER BEARI;NG, CARBON STEEL N-09;</v>
          </cell>
          <cell r="F70" t="str">
            <v>AWS HSC - AC Firepumps</v>
          </cell>
          <cell r="G70" t="str">
            <v>0.1 (Design)</v>
          </cell>
          <cell r="H70" t="str">
            <v>Released-Published</v>
          </cell>
          <cell r="I70" t="str">
            <v>2022-01-23 01:36 EST</v>
          </cell>
          <cell r="J70" t="str">
            <v>2022-01-22 15:57 EST</v>
          </cell>
          <cell r="K70" t="str">
            <v>NA-Not Applicable</v>
          </cell>
          <cell r="L70" t="str">
            <v>No</v>
          </cell>
          <cell r="M70" t="str">
            <v>ECR's: (23024)121111;</v>
          </cell>
        </row>
        <row r="71">
          <cell r="C71" t="str">
            <v>CP-819-111-211</v>
          </cell>
          <cell r="D71" t="str">
            <v>LOCKNUT, BRG.</v>
          </cell>
          <cell r="E71" t="str">
            <v>LOCKNUTS, FOR;BALL AND ROLLER BEARING;PER AMER STD B3-9;CARBON STEEL;ASA NO. N-11;</v>
          </cell>
          <cell r="F71" t="str">
            <v>AWS HSC - AC Firepumps</v>
          </cell>
          <cell r="G71" t="str">
            <v>0.1 (Design)</v>
          </cell>
          <cell r="H71" t="str">
            <v>Released-Published</v>
          </cell>
          <cell r="I71" t="str">
            <v>2022-01-23 01:36 EST</v>
          </cell>
          <cell r="J71" t="str">
            <v>2022-01-22 15:56 EST</v>
          </cell>
          <cell r="K71" t="str">
            <v>NA-Not Applicable</v>
          </cell>
          <cell r="L71" t="str">
            <v>No</v>
          </cell>
          <cell r="M71" t="str">
            <v>ECR's: (N1346)102198(23024)121111;</v>
          </cell>
        </row>
        <row r="72">
          <cell r="C72" t="str">
            <v>CP-819-133-206</v>
          </cell>
          <cell r="D72" t="str">
            <v>LOCKWASHER, BRG.</v>
          </cell>
          <cell r="E72" t="str">
            <v>LOCKWASHER, FOR;BALL AND ROLLER BEARING;PER AMER. STD B3-9;CARBON STEEL;ASA NO. W-06;</v>
          </cell>
          <cell r="F72" t="str">
            <v>AWS HSC - AC Firepumps</v>
          </cell>
          <cell r="G72" t="str">
            <v>0.1 (Design)</v>
          </cell>
          <cell r="H72" t="str">
            <v>Released-Published</v>
          </cell>
          <cell r="I72" t="str">
            <v>2022-01-23 01:36 EST</v>
          </cell>
          <cell r="J72" t="str">
            <v>2022-01-22 15:57 EST</v>
          </cell>
          <cell r="K72" t="str">
            <v>NA-Not Applicable</v>
          </cell>
          <cell r="L72" t="str">
            <v>No</v>
          </cell>
          <cell r="M72" t="str">
            <v>ECR's: (N1346)102198(21194)101306(23024)121111;</v>
          </cell>
        </row>
        <row r="73">
          <cell r="C73" t="str">
            <v>CP-819-133-207</v>
          </cell>
          <cell r="D73" t="str">
            <v>LOCKWASHER, BRG.</v>
          </cell>
          <cell r="E73" t="str">
            <v>LOCKWASHER, FOR;BALL AND ROLLER BEARING;PER AMER. STD B3-9;CARBON STEEL;ASA NO. W-07;</v>
          </cell>
          <cell r="F73" t="str">
            <v>AWS HSC - AC Firepumps</v>
          </cell>
          <cell r="G73" t="str">
            <v>0.1 (Design)</v>
          </cell>
          <cell r="H73" t="str">
            <v>Released-Published</v>
          </cell>
          <cell r="I73" t="str">
            <v>2022-01-23 01:36 EST</v>
          </cell>
          <cell r="J73" t="str">
            <v>2022-01-22 15:57 EST</v>
          </cell>
          <cell r="K73" t="str">
            <v>NA-Not Applicable</v>
          </cell>
          <cell r="L73" t="str">
            <v>No</v>
          </cell>
          <cell r="M73" t="str">
            <v>ECR's: (N1346)102198(21194)101306(23024)121111;</v>
          </cell>
        </row>
        <row r="74">
          <cell r="C74" t="str">
            <v>CP-819-133-208</v>
          </cell>
          <cell r="D74" t="str">
            <v>LOCKWASHER, BRG.</v>
          </cell>
          <cell r="E74" t="str">
            <v>LOCKWASHER, FOR;BALL AND ROLLER BEARING;PER AMER. STD B3-9;CARBON STEEL;ASA NO. W-08;</v>
          </cell>
          <cell r="F74" t="str">
            <v>AWS HSC - AC Firepumps</v>
          </cell>
          <cell r="G74" t="str">
            <v>0.1 (Design)</v>
          </cell>
          <cell r="H74" t="str">
            <v>Released-Published</v>
          </cell>
          <cell r="I74" t="str">
            <v>2022-01-23 01:36 EST</v>
          </cell>
          <cell r="J74" t="str">
            <v>2022-01-22 15:57 EST</v>
          </cell>
          <cell r="K74" t="str">
            <v>NA-Not Applicable</v>
          </cell>
          <cell r="L74" t="str">
            <v>No</v>
          </cell>
          <cell r="M74" t="str">
            <v>ECR's: (N1346)102198(21194)101306(23024)121111;</v>
          </cell>
        </row>
        <row r="75">
          <cell r="C75" t="str">
            <v>CP-819-133-209</v>
          </cell>
          <cell r="D75" t="str">
            <v>LOCKWASHR BRG</v>
          </cell>
          <cell r="E75" t="str">
            <v>LOCKWASHER FOR BALL AND ROLLER BEAR;ING PER AMER STD B3-09;CARBON STEEL ASA # W-09;</v>
          </cell>
          <cell r="F75" t="str">
            <v>AWS HSC - AC Firepumps</v>
          </cell>
          <cell r="G75" t="str">
            <v>0.1 (Design)</v>
          </cell>
          <cell r="H75" t="str">
            <v>Released-Published</v>
          </cell>
          <cell r="I75" t="str">
            <v>2022-01-23 01:36 EST</v>
          </cell>
          <cell r="J75" t="str">
            <v>2022-01-22 15:57 EST</v>
          </cell>
          <cell r="K75" t="str">
            <v>NA-Not Applicable</v>
          </cell>
          <cell r="L75" t="str">
            <v>No</v>
          </cell>
          <cell r="M75" t="str">
            <v>ECR's: (21194)101306(23024)121111;</v>
          </cell>
        </row>
        <row r="76">
          <cell r="C76" t="str">
            <v>DF0073</v>
          </cell>
          <cell r="D76" t="str">
            <v>COUPLING: CLASS 150, NPT, 1/8"</v>
          </cell>
          <cell r="E76" t="str">
            <v>COUPLING PIPE STD. MERCHANT COUPLING BLACK STEEL;1/8" NPT 9/16" 0.D. X 13/16" LG.</v>
          </cell>
          <cell r="F76" t="str">
            <v>AWS Domestic Product Family</v>
          </cell>
          <cell r="G76" t="str">
            <v>0.1 (Design)</v>
          </cell>
          <cell r="H76" t="str">
            <v>Released-Published</v>
          </cell>
          <cell r="I76" t="str">
            <v>2022-04-28 22:41 EDT</v>
          </cell>
          <cell r="J76" t="str">
            <v>2022-01-22 15:44 EST</v>
          </cell>
          <cell r="K76" t="str">
            <v>NA-Not Applicable</v>
          </cell>
          <cell r="L76" t="str">
            <v>No</v>
          </cell>
          <cell r="M76" t="str">
            <v>ECR's: (23024)121111(26989)032522;</v>
          </cell>
        </row>
        <row r="77">
          <cell r="C77" t="str">
            <v>DF0489</v>
          </cell>
          <cell r="D77" t="str">
            <v>SNAP RING      .787 SHAFT DIA.</v>
          </cell>
          <cell r="E77" t="str">
            <v>SNAP RING, EXTERNAL SERIES HEAVY DUTY STEEL, .078"TK. X .689"I.D. FREE DIA. FOR .787" SHAFT DIA;</v>
          </cell>
          <cell r="F77" t="str">
            <v>AWS Domestic Product Family</v>
          </cell>
          <cell r="G77" t="str">
            <v>0.0 (Design)</v>
          </cell>
          <cell r="H77" t="str">
            <v>Released-Published</v>
          </cell>
          <cell r="I77" t="str">
            <v>2022-01-22 16:05 EST</v>
          </cell>
          <cell r="J77" t="str">
            <v>2022-01-22 16:05 EST</v>
          </cell>
          <cell r="K77" t="str">
            <v>NA-Not Applicable</v>
          </cell>
          <cell r="L77" t="str">
            <v>Yes</v>
          </cell>
          <cell r="M77" t="str">
            <v>ECR's: (17319)060497(23024)121111; ESV: 1) WALDES/TRUARC --- SIZE NO. 5160-75;     2) ROTOCLIP --- NO.SHR-75STPA;</v>
          </cell>
        </row>
        <row r="78">
          <cell r="C78" t="str">
            <v>DF0506</v>
          </cell>
          <cell r="D78" t="str">
            <v>CONN MALE STR  1/4OD X 1/4MPT</v>
          </cell>
          <cell r="E78" t="str">
            <v>CONNECTOR MALE TUBE FITTING STRAIGHT WITH 1/4";TUBE &amp; 1/4"MPT CONNECTIONS. BRASS.</v>
          </cell>
          <cell r="F78" t="str">
            <v>AWS Domestic Product Family</v>
          </cell>
          <cell r="G78" t="str">
            <v>0.0 (Design)</v>
          </cell>
          <cell r="H78" t="str">
            <v>Released-Published</v>
          </cell>
          <cell r="I78" t="str">
            <v>2022-01-22 15:44 EST</v>
          </cell>
          <cell r="J78" t="str">
            <v>2022-01-22 15:44 EST</v>
          </cell>
          <cell r="K78" t="str">
            <v>NA-Not Applicable</v>
          </cell>
          <cell r="L78" t="str">
            <v>Yes</v>
          </cell>
          <cell r="M78" t="str">
            <v>ECR's: (23024)121111; ESV: 1) WEATHERHED MFG. --- 68X4X4;     2) PARKER ---  68C-4-4 OR EQUAL;</v>
          </cell>
        </row>
        <row r="79">
          <cell r="C79" t="str">
            <v>DF0507</v>
          </cell>
          <cell r="D79" t="str">
            <v>ELBOW 90 MALE  1/4OD X 1/4MPT</v>
          </cell>
          <cell r="E79" t="str">
            <v>ELBOW MALE 90 DEGREES TUBE FITTING WITH 1/4" TUBE;&amp;1/4" MPT CONNECTIONS BRASS.</v>
          </cell>
          <cell r="F79" t="str">
            <v>AWS Domestic Product Family</v>
          </cell>
          <cell r="G79" t="str">
            <v>0.0 (Design)</v>
          </cell>
          <cell r="H79" t="str">
            <v>Released-Published</v>
          </cell>
          <cell r="I79" t="str">
            <v>2022-01-22 15:46 EST</v>
          </cell>
          <cell r="J79" t="str">
            <v>2022-01-22 15:46 EST</v>
          </cell>
          <cell r="K79" t="str">
            <v>NA-Not Applicable</v>
          </cell>
          <cell r="L79" t="str">
            <v>Yes</v>
          </cell>
          <cell r="M79" t="str">
            <v>ECR's: (23024)121111; ESV: (1)WEATHERHEAD --- #69X4A(4X4) OR EQUAL;     (2)PARKER --- 169C-4-4 OR EQUAL;</v>
          </cell>
        </row>
        <row r="80">
          <cell r="C80" t="str">
            <v>DF0510</v>
          </cell>
          <cell r="D80" t="str">
            <v>CONN MALE STR  1/4OD X 1/8MPT</v>
          </cell>
          <cell r="E80" t="str">
            <v>CONNECTOR MALE TUBE FITTING STRAIGHT WITH 1/4";TUBE AND 1/8" MALE PIPE THREAD CONNECTIONS. BRASS;</v>
          </cell>
          <cell r="F80" t="str">
            <v>AWS Domestic Product Family</v>
          </cell>
          <cell r="G80" t="str">
            <v>0.1 (Design)</v>
          </cell>
          <cell r="H80" t="str">
            <v>Released-Published</v>
          </cell>
          <cell r="I80" t="str">
            <v>2022-04-28 22:40 EDT</v>
          </cell>
          <cell r="J80" t="str">
            <v>2022-01-22 15:44 EST</v>
          </cell>
          <cell r="K80" t="str">
            <v>NA-Not Applicable</v>
          </cell>
          <cell r="L80" t="str">
            <v>Yes</v>
          </cell>
          <cell r="M80" t="str">
            <v>ECR's: (23024)121111(26989)032522; ESV: (1)WEATHERHEAD --- #68X4 OR EQUAL;     (2)PARKER --- 68C-4-2 OR EQUAL;</v>
          </cell>
        </row>
        <row r="81">
          <cell r="C81" t="str">
            <v>DF0511</v>
          </cell>
          <cell r="D81" t="str">
            <v>ELBOW 90 MALE  1/4OD X 1/8MPT</v>
          </cell>
          <cell r="E81" t="str">
            <v>ELBOW MALE 90 DEGREES TUBE FITTING WITH 1/4" TUBE;&amp; 1/8" MPT CONNECTIONS BRASS.</v>
          </cell>
          <cell r="F81" t="str">
            <v>AWS Domestic Product Family</v>
          </cell>
          <cell r="G81" t="str">
            <v>0.1 (Design)</v>
          </cell>
          <cell r="H81" t="str">
            <v>Released-Published</v>
          </cell>
          <cell r="I81" t="str">
            <v>2022-04-28 22:41 EDT</v>
          </cell>
          <cell r="J81" t="str">
            <v>2022-01-22 15:46 EST</v>
          </cell>
          <cell r="K81" t="str">
            <v>NA-Not Applicable</v>
          </cell>
          <cell r="L81" t="str">
            <v>Yes</v>
          </cell>
          <cell r="M81" t="str">
            <v>ECR's: (23024)121111(26989)032522; ESV: (1) WEATHERHEAD --- #69X4 OR EQUAL;     (2) PARKER --- 169C-4-2 OR EQUAL;</v>
          </cell>
        </row>
        <row r="82">
          <cell r="C82" t="str">
            <v>DJ0026</v>
          </cell>
          <cell r="D82" t="str">
            <v>CAPSCREW HEX HD1/4-28NFX5/8LG</v>
          </cell>
          <cell r="E82" t="str">
            <v>CAPSCRW, HEX HD. 1/4" DIA. 28 UNF-2A X 5/8" LG. SELF LOCKING TYPE 302 STAINLESS STEEL;</v>
          </cell>
          <cell r="F82" t="str">
            <v>AWS Domestic Product Family</v>
          </cell>
          <cell r="G82" t="str">
            <v>0.0 (Design)</v>
          </cell>
          <cell r="H82" t="str">
            <v>Released-Published</v>
          </cell>
          <cell r="I82" t="str">
            <v>2022-01-22 15:42 EST</v>
          </cell>
          <cell r="J82" t="str">
            <v>2022-01-22 15:42 EST</v>
          </cell>
          <cell r="K82" t="str">
            <v>NA-Not Applicable</v>
          </cell>
          <cell r="L82" t="str">
            <v>No</v>
          </cell>
          <cell r="M82" t="str">
            <v>ECR's: (23024)121111;</v>
          </cell>
        </row>
        <row r="83">
          <cell r="C83" t="str">
            <v>DJ0034</v>
          </cell>
          <cell r="D83" t="str">
            <v>CAPSCREW HEX HD5/16-18UNCX1LG</v>
          </cell>
          <cell r="E83" t="str">
            <v>CAPSCREW, HEX HD. 5/16" DIA 18 UNC 2A X 1" LG. DIMENSIONS TO CONFORM TO ANSI STANDARD B18.2.1;LOW CARBON STEEL, SAE GRADE 2, ZINC PLATED.</v>
          </cell>
          <cell r="F83" t="str">
            <v>AWS Hoffman Product Family</v>
          </cell>
          <cell r="G83" t="str">
            <v>0.0 (Design)</v>
          </cell>
          <cell r="H83" t="str">
            <v>Released-Published</v>
          </cell>
          <cell r="I83" t="str">
            <v>2022-01-22 15:42 EST</v>
          </cell>
          <cell r="J83" t="str">
            <v>2022-01-22 15:42 EST</v>
          </cell>
          <cell r="K83" t="str">
            <v>NA-Not Applicable</v>
          </cell>
          <cell r="L83" t="str">
            <v>No</v>
          </cell>
          <cell r="M83" t="str">
            <v>ECR's: (23024)121111;</v>
          </cell>
        </row>
        <row r="84">
          <cell r="C84" t="str">
            <v>DJ0063</v>
          </cell>
          <cell r="D84" t="str">
            <v>CAPSCREW HEX HD3/8-16UNCX3/4LG</v>
          </cell>
          <cell r="E84" t="str">
            <v>CAPSCREW, HEX HD 3/8" DIA 16 UNC 2A X 3/4" LG. DIMENSIONS TO CONFORM TO ANSI STANDARD B18.2.1;LOW CARBON STEEL, SAE GRADE 2, ZINC PLATED.</v>
          </cell>
          <cell r="F84" t="str">
            <v>AWS MG Production Drawings</v>
          </cell>
          <cell r="G84" t="str">
            <v>0.0 (Design)</v>
          </cell>
          <cell r="H84" t="str">
            <v>Released-Published</v>
          </cell>
          <cell r="I84" t="str">
            <v>2022-01-22 15:42 EST</v>
          </cell>
          <cell r="J84" t="str">
            <v>2022-01-22 15:42 EST</v>
          </cell>
          <cell r="K84" t="str">
            <v>NA-Not Applicable</v>
          </cell>
          <cell r="L84" t="str">
            <v>No</v>
          </cell>
          <cell r="M84" t="str">
            <v>ECR's: (23024)121111;</v>
          </cell>
        </row>
        <row r="85">
          <cell r="C85" t="str">
            <v>DJ0066</v>
          </cell>
          <cell r="D85" t="str">
            <v>CAPSCREW HEX HD3/8-16UNCX1LG</v>
          </cell>
          <cell r="E85" t="str">
            <v>CAPSCREW,HEX HEAD 3/8" DIA-16UNC-2A X1"LG. DIMENSIONS TO CONFORM TO ANSI STANDARD B18.2.1;LOW CARBON STEEL, SAE GRADE 2, ZINC PLATED.</v>
          </cell>
          <cell r="F85" t="str">
            <v>AWS Domestic Product Family</v>
          </cell>
          <cell r="G85" t="str">
            <v>0.0 (Design)</v>
          </cell>
          <cell r="H85" t="str">
            <v>Released-Published</v>
          </cell>
          <cell r="I85" t="str">
            <v>2022-01-22 15:42 EST</v>
          </cell>
          <cell r="J85" t="str">
            <v>2022-01-22 15:42 EST</v>
          </cell>
          <cell r="K85" t="str">
            <v>NA-Not Applicable</v>
          </cell>
          <cell r="L85" t="str">
            <v>No</v>
          </cell>
          <cell r="M85" t="str">
            <v>ECR's: (23024)121111;</v>
          </cell>
        </row>
        <row r="86">
          <cell r="C86" t="str">
            <v>DJ0071</v>
          </cell>
          <cell r="D86" t="str">
            <v>CAPSCREW HEX HD3/8-16UNCX1-1/4</v>
          </cell>
          <cell r="E86" t="str">
            <v>CAPSCREW, HEX HD 3/8" DIA 16 UNC 2A X 1-1/4" LG. DIMENSIONS TO CONFORM TO ANSI STANDRAD B18.2.1;LOW CARBON STEEL, SAE GRADE,ZINC PLATED.</v>
          </cell>
          <cell r="F86" t="str">
            <v>AWS Domestic Product Family</v>
          </cell>
          <cell r="G86" t="str">
            <v>0.0 (Design)</v>
          </cell>
          <cell r="H86" t="str">
            <v>Released-Published</v>
          </cell>
          <cell r="I86" t="str">
            <v>2022-01-22 15:42 EST</v>
          </cell>
          <cell r="J86" t="str">
            <v>2022-01-22 15:42 EST</v>
          </cell>
          <cell r="K86" t="str">
            <v>NA-Not Applicable</v>
          </cell>
          <cell r="L86" t="str">
            <v>No</v>
          </cell>
          <cell r="M86" t="str">
            <v>ECR's: (23024)121111;</v>
          </cell>
        </row>
        <row r="87">
          <cell r="C87" t="str">
            <v>DJ0080</v>
          </cell>
          <cell r="D87" t="str">
            <v>CAPSCREW HEX HD3/8-16UNCX2-1/2</v>
          </cell>
          <cell r="E87" t="str">
            <v>CAPSCREW, HEX HD. 3/8" DIA 16 UNC 2A X 2-1/2" LG. DIMENSIONS TO CONFORM TO ANSI STANDARD B18.2.1;LOW CARBON STEEL, SAE GRADE 2, ZINC PLATED.</v>
          </cell>
          <cell r="F87" t="str">
            <v>AWS MG Production Drawings</v>
          </cell>
          <cell r="G87" t="str">
            <v>0.0 (Design)</v>
          </cell>
          <cell r="H87" t="str">
            <v>Released-Published</v>
          </cell>
          <cell r="I87" t="str">
            <v>2022-01-22 15:42 EST</v>
          </cell>
          <cell r="J87" t="str">
            <v>2022-01-22 15:42 EST</v>
          </cell>
          <cell r="K87" t="str">
            <v>NA-Not Applicable</v>
          </cell>
          <cell r="L87" t="str">
            <v>No</v>
          </cell>
          <cell r="M87" t="str">
            <v>ECR's: (23024)121111;</v>
          </cell>
        </row>
        <row r="88">
          <cell r="C88" t="str">
            <v>DJ0081</v>
          </cell>
          <cell r="D88" t="str">
            <v>CAPSCREW HEX HD3/8-16UNCX2-3/4</v>
          </cell>
          <cell r="E88" t="str">
            <v>CAPSCREW, HEX HD. 3/8" DIA 16 UNC 2A X 2-3/4" LG. DIMENSIONS TO CONFORM TO ANSI STANDARD B18.2.1;LOW CARBON STEEL, SAE GRADE 2, ZINC PLATED.</v>
          </cell>
          <cell r="F88" t="str">
            <v>AWS Domestic Product Family</v>
          </cell>
          <cell r="G88" t="str">
            <v>0.0 (Design)</v>
          </cell>
          <cell r="H88" t="str">
            <v>Released-Published</v>
          </cell>
          <cell r="I88" t="str">
            <v>2022-01-22 15:42 EST</v>
          </cell>
          <cell r="J88" t="str">
            <v>2022-01-22 15:42 EST</v>
          </cell>
          <cell r="K88" t="str">
            <v>NA-Not Applicable</v>
          </cell>
          <cell r="L88" t="str">
            <v>No</v>
          </cell>
          <cell r="M88" t="str">
            <v>ECR's: (23024)121111;</v>
          </cell>
        </row>
        <row r="89">
          <cell r="C89" t="str">
            <v>DJ0083</v>
          </cell>
          <cell r="D89" t="str">
            <v>CAPSCREW HEX HD3/8-16UNCX3-1/4</v>
          </cell>
          <cell r="E89" t="str">
            <v>CAPSCREW, HEX. HD. 3/8" DIA 16 UNC-2A X 3-1/4"LG. DIMENSIONS TO CONFORM TO ANSI STANDARD B18.2.1;LOW CARBON STEEL, SAE GRADE 2,ZINC PLATED.</v>
          </cell>
          <cell r="F89" t="str">
            <v>AWS MG Production Drawings</v>
          </cell>
          <cell r="G89" t="str">
            <v>0.0 (Design)</v>
          </cell>
          <cell r="H89" t="str">
            <v>Released-Published</v>
          </cell>
          <cell r="I89" t="str">
            <v>2022-01-22 15:42 EST</v>
          </cell>
          <cell r="J89" t="str">
            <v>2022-01-22 15:42 EST</v>
          </cell>
          <cell r="K89" t="str">
            <v>NA-Not Applicable</v>
          </cell>
          <cell r="L89" t="str">
            <v>No</v>
          </cell>
          <cell r="M89" t="str">
            <v>ECR's: (23024)121111;</v>
          </cell>
        </row>
        <row r="90">
          <cell r="C90" t="str">
            <v>DJ0113</v>
          </cell>
          <cell r="D90" t="str">
            <v>CAPSCREW HEX HD1/2-13UNCX1-1/2</v>
          </cell>
          <cell r="E90" t="str">
            <v>CAPSCREW, HEX HD. 1/2" DIA 13 UNC 2A X 1-1/2" LG. DIMENSIONS TO CONFORM TO ANSI STANDARD B18.2.1;LOW CARBON STEEL, SAE GRADE 2, ZINC PLATED.</v>
          </cell>
          <cell r="F90" t="str">
            <v>AWS MG Production Drawings</v>
          </cell>
          <cell r="G90" t="str">
            <v>0.0 (Design)</v>
          </cell>
          <cell r="H90" t="str">
            <v>Released-Published</v>
          </cell>
          <cell r="I90" t="str">
            <v>2022-01-22 15:42 EST</v>
          </cell>
          <cell r="J90" t="str">
            <v>2022-01-22 15:42 EST</v>
          </cell>
          <cell r="K90" t="str">
            <v>NA-Not Applicable</v>
          </cell>
          <cell r="L90" t="str">
            <v>No</v>
          </cell>
          <cell r="M90" t="str">
            <v>ECR's: (23024)121111;</v>
          </cell>
        </row>
        <row r="91">
          <cell r="C91" t="str">
            <v>DJ0134</v>
          </cell>
          <cell r="D91" t="str">
            <v>CAPSCREW HEX HD5/8-11UNCX2LG</v>
          </cell>
          <cell r="E91" t="str">
            <v>CAPSCREW HEX HD. 5/8" DIA. 11UNC-2A X 2" LG. DIMENSIONS TO CONFORM TO ANSI STANDARD B18.2.1;LOW CARBON STEEL, SAE GRADE 2, ZINC PLATED.</v>
          </cell>
          <cell r="F91" t="str">
            <v>AWS MG Production Drawings</v>
          </cell>
          <cell r="G91" t="str">
            <v>0.0 (Design)</v>
          </cell>
          <cell r="H91" t="str">
            <v>Released-Published</v>
          </cell>
          <cell r="I91" t="str">
            <v>2022-01-22 15:42 EST</v>
          </cell>
          <cell r="J91" t="str">
            <v>2022-01-22 15:42 EST</v>
          </cell>
          <cell r="K91" t="str">
            <v>NA-Not Applicable</v>
          </cell>
          <cell r="L91" t="str">
            <v>No</v>
          </cell>
          <cell r="M91" t="str">
            <v>ECR's: (23024)121111;</v>
          </cell>
        </row>
        <row r="92">
          <cell r="C92" t="str">
            <v>DJ0157</v>
          </cell>
          <cell r="D92" t="str">
            <v>CAPSCREW HEX HD3/4-10UNCX3-1/2</v>
          </cell>
          <cell r="E92" t="str">
            <v>CAPSCREW HEX HD. 3/4" DIA., 10 UNC-2A X 3-1/2"LG/;DIMENSIONS TO CONFORM TO ANSI STANDRAD B18.2.1;LOW CARBON STEEL, SAE GRADE2, ZINC PLATED.</v>
          </cell>
          <cell r="F92" t="str">
            <v>AWS MG Production Drawings</v>
          </cell>
          <cell r="G92" t="str">
            <v>0.0 (Design)</v>
          </cell>
          <cell r="H92" t="str">
            <v>Released-Published</v>
          </cell>
          <cell r="I92" t="str">
            <v>2022-01-22 15:42 EST</v>
          </cell>
          <cell r="J92" t="str">
            <v>2022-01-22 15:42 EST</v>
          </cell>
          <cell r="K92" t="str">
            <v>NA-Not Applicable</v>
          </cell>
          <cell r="L92" t="str">
            <v>No</v>
          </cell>
          <cell r="M92" t="str">
            <v>ECR's: (23024)121111;</v>
          </cell>
        </row>
        <row r="93">
          <cell r="C93" t="str">
            <v>DJ0201</v>
          </cell>
          <cell r="D93" t="str">
            <v>SET SCR SKT HD #10-24NCX1/4LG</v>
          </cell>
          <cell r="E93" t="str">
            <v>SET SCREW SKT. HD. (HEX) #10 24UNC-2A X 1/4"LG. NYLOK PATCH, CUP POINT.TYPE 302 STAINLESS STEEL;NO DRILL TO BE DONE INTO THREADS;</v>
          </cell>
          <cell r="F93" t="str">
            <v>AWS Domestic Product Family</v>
          </cell>
          <cell r="G93" t="str">
            <v>0.0 (Design)</v>
          </cell>
          <cell r="H93" t="str">
            <v>Released-Published</v>
          </cell>
          <cell r="I93" t="str">
            <v>2022-01-22 16:04 EST</v>
          </cell>
          <cell r="J93" t="str">
            <v>2022-01-22 16:04 EST</v>
          </cell>
          <cell r="K93" t="str">
            <v>NA-Not Applicable</v>
          </cell>
          <cell r="L93" t="str">
            <v>No</v>
          </cell>
          <cell r="M93" t="str">
            <v>ECR's: (21973)063008(23024)121111;</v>
          </cell>
        </row>
        <row r="94">
          <cell r="C94" t="str">
            <v>DJ0213</v>
          </cell>
          <cell r="D94" t="str">
            <v>MACH SCR HEX HD#12-28NFX5/8LG</v>
          </cell>
          <cell r="E94" t="str">
            <v>MACHINE SCREW HEX HD. #12 DIA. 28UNF-2A X 5/8"LG. SELF LOCKING TYPE 302 STAINLESS STEEL.</v>
          </cell>
          <cell r="F94" t="str">
            <v>AWS Domestic Product Family</v>
          </cell>
          <cell r="G94" t="str">
            <v>0.0 (Design)</v>
          </cell>
          <cell r="H94" t="str">
            <v>Released-Published</v>
          </cell>
          <cell r="I94" t="str">
            <v>2022-01-22 15:57 EST</v>
          </cell>
          <cell r="J94" t="str">
            <v>2022-01-22 15:57 EST</v>
          </cell>
          <cell r="K94" t="str">
            <v>NA-Not Applicable</v>
          </cell>
          <cell r="L94" t="str">
            <v>No</v>
          </cell>
          <cell r="M94" t="str">
            <v>ECR's: (23024)121111;</v>
          </cell>
        </row>
        <row r="95">
          <cell r="C95" t="str">
            <v>DJ0232</v>
          </cell>
          <cell r="D95" t="str">
            <v>NUT HEX STD    5/8-11UNC-2B</v>
          </cell>
          <cell r="E95" t="str">
            <v>NUT, HEX HVY HEXAGON 5/8"-11UNC-2B STEEL,ZINC;PLATED.</v>
          </cell>
          <cell r="F95" t="str">
            <v>AWS Domestic Product Family</v>
          </cell>
          <cell r="G95" t="str">
            <v>0.0 (Design)</v>
          </cell>
          <cell r="H95" t="str">
            <v>Released-Published</v>
          </cell>
          <cell r="I95" t="str">
            <v>2022-01-22 15:59 EST</v>
          </cell>
          <cell r="J95" t="str">
            <v>2022-01-22 15:59 EST</v>
          </cell>
          <cell r="K95" t="str">
            <v>NA-Not Applicable</v>
          </cell>
          <cell r="L95" t="str">
            <v>No</v>
          </cell>
          <cell r="M95" t="str">
            <v>ECR's: (23024)121111;</v>
          </cell>
        </row>
        <row r="96">
          <cell r="C96" t="str">
            <v>DJ0243</v>
          </cell>
          <cell r="D96" t="str">
            <v>STOP-NUT HEX   1/2-20UNF-2B</v>
          </cell>
          <cell r="E96" t="str">
            <v>STOP-NUT HEXAGON SELF LOCKING 1/2"-20UNF-2B;BRASS OR BRONZE.</v>
          </cell>
          <cell r="F96" t="str">
            <v>AWS Domestic Product Family</v>
          </cell>
          <cell r="G96" t="str">
            <v>0.0 (Design)</v>
          </cell>
          <cell r="H96" t="str">
            <v>Released-Published</v>
          </cell>
          <cell r="I96" t="str">
            <v>2022-01-22 16:06 EST</v>
          </cell>
          <cell r="J96" t="str">
            <v>2022-01-22 16:06 EST</v>
          </cell>
          <cell r="K96" t="str">
            <v>NA-Not Applicable</v>
          </cell>
          <cell r="L96" t="str">
            <v>No</v>
          </cell>
          <cell r="M96" t="str">
            <v>ECR's: (23024)121111;</v>
          </cell>
        </row>
        <row r="97">
          <cell r="C97" t="str">
            <v>DJ0265</v>
          </cell>
          <cell r="D97" t="str">
            <v>WASHER, CHECK VLV.</v>
          </cell>
          <cell r="E97" t="str">
            <v>BRASS SHEET;</v>
          </cell>
          <cell r="F97" t="str">
            <v>AWS Domestic Product Family</v>
          </cell>
          <cell r="G97" t="str">
            <v>0.1 (Design)</v>
          </cell>
          <cell r="H97" t="str">
            <v>Released-Published</v>
          </cell>
          <cell r="I97" t="str">
            <v>2022-01-23 01:37 EST</v>
          </cell>
          <cell r="J97" t="str">
            <v>2022-01-22 16:11 EST</v>
          </cell>
          <cell r="K97" t="str">
            <v>NA-Not Applicable</v>
          </cell>
          <cell r="L97" t="str">
            <v>No</v>
          </cell>
          <cell r="M97" t="str">
            <v>ECR's: (16695)050195(23024)121111;</v>
          </cell>
        </row>
        <row r="98">
          <cell r="C98" t="str">
            <v>DJ0267</v>
          </cell>
          <cell r="D98" t="str">
            <v>LOCKWASHER IMP 7/32IDX3/4OD</v>
          </cell>
          <cell r="E98" t="str">
            <v>LOCKWASHER, IMPELLER; STAINLESS STEEL,</v>
          </cell>
          <cell r="F98" t="str">
            <v>AWS Domestic Product Family</v>
          </cell>
          <cell r="G98" t="str">
            <v>0.1 (Design)</v>
          </cell>
          <cell r="H98" t="str">
            <v>Released-Published</v>
          </cell>
          <cell r="I98" t="str">
            <v>2022-01-23 01:37 EST</v>
          </cell>
          <cell r="J98" t="str">
            <v>2022-01-22 15:57 EST</v>
          </cell>
          <cell r="K98" t="str">
            <v>NA-Not Applicable</v>
          </cell>
          <cell r="L98" t="str">
            <v>No</v>
          </cell>
          <cell r="M98" t="str">
            <v>ECR's: (23024)121111;</v>
          </cell>
        </row>
        <row r="99">
          <cell r="C99" t="str">
            <v>DJ0447</v>
          </cell>
          <cell r="D99" t="str">
            <v>PIN DRIV-LOK   1/8DIAX3/4LG</v>
          </cell>
          <cell r="E99" t="str">
            <v>1/8"DIA.X3/4"LG, #303 STAINLESS STEEL;TYPE A-3 OR TYPE U.</v>
          </cell>
          <cell r="F99" t="str">
            <v>AWS Domestic Product Family</v>
          </cell>
          <cell r="G99" t="str">
            <v>0.0 (Design)</v>
          </cell>
          <cell r="H99" t="str">
            <v>Released-Published</v>
          </cell>
          <cell r="I99" t="str">
            <v>2022-01-22 16:00 EST</v>
          </cell>
          <cell r="J99" t="str">
            <v>2022-01-22 16:00 EST</v>
          </cell>
          <cell r="K99" t="str">
            <v>NA-Not Applicable</v>
          </cell>
          <cell r="L99" t="str">
            <v>No</v>
          </cell>
          <cell r="M99" t="str">
            <v>ECR's: (13016)070886(23024)121111;</v>
          </cell>
        </row>
        <row r="100">
          <cell r="C100" t="str">
            <v>DJ0448</v>
          </cell>
          <cell r="D100" t="str">
            <v>PIN DRIV-LOK   1/8DIAX3/8LG</v>
          </cell>
          <cell r="E100" t="str">
            <v>1/8"DIA.X3/8"LG, #303 STAINLESS STEEL;TYPE A-3 OR TYPE U.</v>
          </cell>
          <cell r="F100" t="str">
            <v>AWS Domestic Product Family</v>
          </cell>
          <cell r="G100" t="str">
            <v>0.0 (Design)</v>
          </cell>
          <cell r="H100" t="str">
            <v>Released-Published</v>
          </cell>
          <cell r="I100" t="str">
            <v>2022-01-22 16:00 EST</v>
          </cell>
          <cell r="J100" t="str">
            <v>2022-01-22 16:00 EST</v>
          </cell>
          <cell r="K100" t="str">
            <v>NA-Not Applicable</v>
          </cell>
          <cell r="L100" t="str">
            <v>No</v>
          </cell>
          <cell r="M100" t="str">
            <v>ECR's: (13016)070886(23024)121111;</v>
          </cell>
        </row>
        <row r="101">
          <cell r="C101" t="str">
            <v>DJ0450</v>
          </cell>
          <cell r="D101" t="str">
            <v>PIN GROOVED    3/16DIAX1 1/8LG</v>
          </cell>
          <cell r="E101" t="str">
            <v>3/16"DIA.X1-1/8"LG., LOW CARBON - STEEL, TYPE U.  (ZINC PLATED);</v>
          </cell>
          <cell r="F101" t="str">
            <v>AWS Domestic Product Family</v>
          </cell>
          <cell r="G101" t="str">
            <v>0.0 (Design)</v>
          </cell>
          <cell r="H101" t="str">
            <v>Released-Published</v>
          </cell>
          <cell r="I101" t="str">
            <v>2022-01-22 16:00 EST</v>
          </cell>
          <cell r="J101" t="str">
            <v>2022-01-22 16:00 EST</v>
          </cell>
          <cell r="K101" t="str">
            <v>NA-Not Applicable</v>
          </cell>
          <cell r="L101" t="str">
            <v>Yes</v>
          </cell>
          <cell r="M101" t="str">
            <v>ECR's: (13016)070886(23024)121111; ESV: (1) DRIV-LOK --- TYPE "U";</v>
          </cell>
        </row>
        <row r="102">
          <cell r="C102" t="str">
            <v>DJ0471</v>
          </cell>
          <cell r="D102" t="str">
            <v>STUD BOLT 3/8-16UNX1-7/16LG</v>
          </cell>
          <cell r="E102" t="str">
            <v>3/8" DIA-16 UNC - 2A X 1-7/16" LG. STEEL. THREADED BOTH ENDS.</v>
          </cell>
          <cell r="F102" t="str">
            <v>AWS Domestic Product Family</v>
          </cell>
          <cell r="G102" t="str">
            <v>0.1 (Design)</v>
          </cell>
          <cell r="H102" t="str">
            <v>Released-Published</v>
          </cell>
          <cell r="I102" t="str">
            <v>2022-01-23 01:37 EST</v>
          </cell>
          <cell r="J102" t="str">
            <v>2022-01-22 16:06 EST</v>
          </cell>
          <cell r="K102" t="str">
            <v>NA-Not Applicable</v>
          </cell>
          <cell r="L102" t="str">
            <v>No</v>
          </cell>
          <cell r="M102" t="str">
            <v>ECR's: (16238)031194(23024)121111;</v>
          </cell>
        </row>
        <row r="103">
          <cell r="C103" t="str">
            <v>DJ0478</v>
          </cell>
          <cell r="D103" t="str">
            <v>STUD PUMP CASE 1/2-13NCX1.812</v>
          </cell>
          <cell r="E103" t="str">
            <v>STUD, PUMP CASE; 1/2" DIA - 13 UNC-2A X 1-13/16";LG. C.R. STEEL.</v>
          </cell>
          <cell r="F103" t="str">
            <v>AWS Domestic Product Family</v>
          </cell>
          <cell r="G103" t="str">
            <v>0.1 (Design)</v>
          </cell>
          <cell r="H103" t="str">
            <v>Released-Published</v>
          </cell>
          <cell r="I103" t="str">
            <v>2022-01-23 01:37 EST</v>
          </cell>
          <cell r="J103" t="str">
            <v>2022-01-22 16:06 EST</v>
          </cell>
          <cell r="K103" t="str">
            <v>NA-Not Applicable</v>
          </cell>
          <cell r="L103" t="str">
            <v>No</v>
          </cell>
          <cell r="M103" t="str">
            <v>ECR's: (23024)121111;</v>
          </cell>
        </row>
        <row r="104">
          <cell r="C104" t="str">
            <v>DJ0479</v>
          </cell>
          <cell r="D104" t="str">
            <v>STUD PUMP CASE 1/2-13NCX1.937</v>
          </cell>
          <cell r="E104" t="str">
            <v>STUD, PUMP CASE, 1/2" DIA - 13 UNC - 2A X 1-15/16";LG. C.R. STEEL;PER PRINT;</v>
          </cell>
          <cell r="F104" t="str">
            <v>AWS Domestic Product Family</v>
          </cell>
          <cell r="G104" t="str">
            <v>0.1 (Design)</v>
          </cell>
          <cell r="H104" t="str">
            <v>Released-Published</v>
          </cell>
          <cell r="I104" t="str">
            <v>2022-01-23 01:37 EST</v>
          </cell>
          <cell r="J104" t="str">
            <v>2022-01-22 16:06 EST</v>
          </cell>
          <cell r="K104" t="str">
            <v>NA-Not Applicable</v>
          </cell>
          <cell r="L104" t="str">
            <v>No</v>
          </cell>
          <cell r="M104" t="str">
            <v>ECR's: (23024)121111;</v>
          </cell>
        </row>
        <row r="105">
          <cell r="C105" t="str">
            <v>DL0007</v>
          </cell>
          <cell r="D105" t="str">
            <v>NIPPLE STD     1/8NPTX2-1/2LG</v>
          </cell>
          <cell r="E105" t="str">
            <v>NIPPLE, STD. R.H. SCH. 40, WROUGHT STEEL, BLACK, 1/8" NPT X 2-1/2" LG.</v>
          </cell>
          <cell r="F105" t="str">
            <v>AWS Domestic Product Family</v>
          </cell>
          <cell r="G105" t="str">
            <v>0.0 (Design)</v>
          </cell>
          <cell r="H105" t="str">
            <v>Released-Published</v>
          </cell>
          <cell r="I105" t="str">
            <v>2022-01-22 15:58 EST</v>
          </cell>
          <cell r="J105" t="str">
            <v>2022-01-22 15:58 EST</v>
          </cell>
          <cell r="K105" t="str">
            <v>NA-Not Applicable</v>
          </cell>
          <cell r="L105" t="str">
            <v>No</v>
          </cell>
          <cell r="M105" t="str">
            <v>ECR's: (23024)121111;</v>
          </cell>
        </row>
        <row r="106">
          <cell r="C106" t="str">
            <v>DL0008</v>
          </cell>
          <cell r="D106" t="str">
            <v>NIPPLE STD     1/8NPTX3LG</v>
          </cell>
          <cell r="E106" t="str">
            <v>NIPPLE STD. R.H. SCH. 40, WROUGHT STEEL, BLACK, 1/8" NPT X 3" LG.</v>
          </cell>
          <cell r="F106" t="str">
            <v>AWS Domestic Product Family</v>
          </cell>
          <cell r="G106" t="str">
            <v>0.0 (Design)</v>
          </cell>
          <cell r="H106" t="str">
            <v>Released-Published</v>
          </cell>
          <cell r="I106" t="str">
            <v>2022-01-22 15:58 EST</v>
          </cell>
          <cell r="J106" t="str">
            <v>2022-01-22 15:58 EST</v>
          </cell>
          <cell r="K106" t="str">
            <v>NA-Not Applicable</v>
          </cell>
          <cell r="L106" t="str">
            <v>No</v>
          </cell>
          <cell r="M106" t="str">
            <v>ECR's: (23024)121111;</v>
          </cell>
        </row>
        <row r="107">
          <cell r="C107" t="str">
            <v>DL0009</v>
          </cell>
          <cell r="D107" t="str">
            <v>NIPPLE STD     1/8NPTX3-1/2LG</v>
          </cell>
          <cell r="E107" t="str">
            <v>NIPPLE STD. R.H. SCH. 40, WROUGHT STEEL, BLACK, 1/8" NPT X 3-1/2" LG.</v>
          </cell>
          <cell r="F107" t="str">
            <v>AWS Domestic Product Family</v>
          </cell>
          <cell r="G107" t="str">
            <v>0.0 (Design)</v>
          </cell>
          <cell r="H107" t="str">
            <v>Released-Published</v>
          </cell>
          <cell r="I107" t="str">
            <v>2022-01-22 15:58 EST</v>
          </cell>
          <cell r="J107" t="str">
            <v>2022-01-22 15:58 EST</v>
          </cell>
          <cell r="K107" t="str">
            <v>NA-Not Applicable</v>
          </cell>
          <cell r="L107" t="str">
            <v>No</v>
          </cell>
          <cell r="M107" t="str">
            <v>ECR's: (23024)121111;</v>
          </cell>
        </row>
        <row r="108">
          <cell r="C108" t="str">
            <v>DL0021</v>
          </cell>
          <cell r="D108" t="str">
            <v>NIPPLE STD     1/4NPTX1-1/2LG</v>
          </cell>
          <cell r="E108" t="str">
            <v>NIPPLE STD. R.H. SCH. 40, WROUGHT STEEL, BLACK. 1/4"NPT X 1-1/2"LG.</v>
          </cell>
          <cell r="F108" t="str">
            <v>AWS Domestic Product Family</v>
          </cell>
          <cell r="G108" t="str">
            <v>0.0 (Design)</v>
          </cell>
          <cell r="H108" t="str">
            <v>Released-Published</v>
          </cell>
          <cell r="I108" t="str">
            <v>2022-01-22 15:58 EST</v>
          </cell>
          <cell r="J108" t="str">
            <v>2022-01-22 15:58 EST</v>
          </cell>
          <cell r="K108" t="str">
            <v>NA-Not Applicable</v>
          </cell>
          <cell r="L108" t="str">
            <v>No</v>
          </cell>
          <cell r="M108" t="str">
            <v>ECR's: (23024)121111;</v>
          </cell>
        </row>
        <row r="109">
          <cell r="C109" t="str">
            <v>DL0025</v>
          </cell>
          <cell r="D109" t="str">
            <v>NIPPLE STD     1/4NPTX3-1/2LG</v>
          </cell>
          <cell r="E109" t="str">
            <v>NIPPLE, STD. R.H. SCH. 40, WROUGHT STEEL, BLACK, 1/4" NPT X 3-1/2" LG.</v>
          </cell>
          <cell r="F109" t="str">
            <v>AWS Domestic Product Family</v>
          </cell>
          <cell r="G109" t="str">
            <v>0.0 (Design)</v>
          </cell>
          <cell r="H109" t="str">
            <v>Released-Published</v>
          </cell>
          <cell r="I109" t="str">
            <v>2022-01-22 15:58 EST</v>
          </cell>
          <cell r="J109" t="str">
            <v>2022-01-22 15:58 EST</v>
          </cell>
          <cell r="K109" t="str">
            <v>NA-Not Applicable</v>
          </cell>
          <cell r="L109" t="str">
            <v>No</v>
          </cell>
          <cell r="M109" t="str">
            <v>ECR's: (23024)121111;</v>
          </cell>
        </row>
        <row r="110">
          <cell r="C110" t="str">
            <v>DL0028</v>
          </cell>
          <cell r="D110" t="str">
            <v>NIPPLE STD     1/4NPTX4LG</v>
          </cell>
          <cell r="E110" t="str">
            <v>NIPPLE, STD. R.H. SCH. 40, WROUGHT STEEL, BLACK, 1/4" NPT X 4" LG.</v>
          </cell>
          <cell r="F110" t="str">
            <v>AWS Domestic Product Family</v>
          </cell>
          <cell r="G110" t="str">
            <v>0.0 (Design)</v>
          </cell>
          <cell r="H110" t="str">
            <v>Released-Published</v>
          </cell>
          <cell r="I110" t="str">
            <v>2022-01-22 15:58 EST</v>
          </cell>
          <cell r="J110" t="str">
            <v>2022-01-22 15:58 EST</v>
          </cell>
          <cell r="K110" t="str">
            <v>NA-Not Applicable</v>
          </cell>
          <cell r="L110" t="str">
            <v>No</v>
          </cell>
          <cell r="M110" t="str">
            <v>ECR's: (23024)121111;</v>
          </cell>
        </row>
        <row r="111">
          <cell r="C111" t="str">
            <v>DP0586</v>
          </cell>
          <cell r="D111" t="str">
            <v>KEY            3/16SQX1-3/8LG</v>
          </cell>
          <cell r="E111" t="str">
            <v>TYPE 304 STAINLESS STEEL BAR, ANNEALED COLD FINISHED GROUND, ASTM A276, TP304;3/16" SQ. X 1-3/8" LG.</v>
          </cell>
          <cell r="F111" t="str">
            <v>AWS Domestic Product Family</v>
          </cell>
          <cell r="G111" t="str">
            <v>0.1 (Design)</v>
          </cell>
          <cell r="H111" t="str">
            <v>Released-Published</v>
          </cell>
          <cell r="I111" t="str">
            <v>2022-01-23 01:38 EST</v>
          </cell>
          <cell r="J111" t="str">
            <v>2022-01-22 15:55 EST</v>
          </cell>
          <cell r="K111" t="str">
            <v>NA-Not Applicable</v>
          </cell>
          <cell r="L111" t="str">
            <v>No</v>
          </cell>
          <cell r="M111" t="str">
            <v>ECR's: (23024)121111;</v>
          </cell>
        </row>
        <row r="112">
          <cell r="C112" t="str">
            <v>DP0587</v>
          </cell>
          <cell r="D112" t="str">
            <v>KEY            1/4SQX1-1/2LG</v>
          </cell>
          <cell r="E112" t="str">
            <v>KEY, TYPE 304 STAINLESS STEEL BAR, ANNEALED COLD FINISHED GROUND, ASTM A276, TP304;1/4" SQ. X 1-1/2" LG.</v>
          </cell>
          <cell r="F112" t="str">
            <v>AWS Domestic Product Family</v>
          </cell>
          <cell r="G112" t="str">
            <v>0.1 (Design)</v>
          </cell>
          <cell r="H112" t="str">
            <v>Released-Published</v>
          </cell>
          <cell r="I112" t="str">
            <v>2022-01-23 01:38 EST</v>
          </cell>
          <cell r="J112" t="str">
            <v>2022-01-22 15:55 EST</v>
          </cell>
          <cell r="K112" t="str">
            <v>NA-Not Applicable</v>
          </cell>
          <cell r="L112" t="str">
            <v>No</v>
          </cell>
          <cell r="M112" t="str">
            <v>ECR's: (23024)121111;</v>
          </cell>
        </row>
        <row r="113">
          <cell r="C113" t="str">
            <v>DP0596</v>
          </cell>
          <cell r="D113" t="str">
            <v>KEY            3/8SQX1-11/16LG</v>
          </cell>
          <cell r="E113" t="str">
            <v>KEY, TYPE 304 STAINLESS STEEL BAR, COLD DRAWN, ASTM A479, TP304;</v>
          </cell>
          <cell r="F113" t="str">
            <v>AWS Domestic Product Family</v>
          </cell>
          <cell r="G113" t="str">
            <v>0.1 (Design)</v>
          </cell>
          <cell r="H113" t="str">
            <v>Released-Published</v>
          </cell>
          <cell r="I113" t="str">
            <v>2022-01-23 01:38 EST</v>
          </cell>
          <cell r="J113" t="str">
            <v>2022-01-22 15:55 EST</v>
          </cell>
          <cell r="K113" t="str">
            <v>NA-Not Applicable</v>
          </cell>
          <cell r="L113" t="str">
            <v>No</v>
          </cell>
          <cell r="M113" t="str">
            <v>ECR's: (23024)121111;</v>
          </cell>
        </row>
        <row r="114">
          <cell r="C114" t="str">
            <v>DP0887</v>
          </cell>
          <cell r="D114" t="str">
            <v>STUD PROPELLER 1/4DIAX3-27/64</v>
          </cell>
          <cell r="E114" t="str">
            <v>LOCKING STUD, PROPELLER: TYPE 416 STAINLESS STEEL BAR, SAE 51416 TP416, ASTM A582.</v>
          </cell>
          <cell r="F114" t="str">
            <v>AWS Domestic Product Family</v>
          </cell>
          <cell r="G114" t="str">
            <v>0.1 (Design)</v>
          </cell>
          <cell r="H114" t="str">
            <v>Released-Published</v>
          </cell>
          <cell r="I114" t="str">
            <v>2022-01-23 01:38 EST</v>
          </cell>
          <cell r="J114" t="str">
            <v>2022-01-22 16:06 EST</v>
          </cell>
          <cell r="K114" t="str">
            <v>NA-Not Applicable</v>
          </cell>
          <cell r="L114" t="str">
            <v>Yes</v>
          </cell>
          <cell r="M114" t="str">
            <v>ECR's: (23024)121111; ESV: (1) GAM INDUSTRIES;     (2) MEDCO INC.</v>
          </cell>
        </row>
        <row r="115">
          <cell r="C115" t="str">
            <v>DP0888</v>
          </cell>
          <cell r="D115" t="str">
            <v>STUD PROPELLER 1/4DIAX5-41/64</v>
          </cell>
          <cell r="E115" t="str">
            <v>LOCKING STUD, PROPERLLER: TYPE 416 STAINLESS STEEL BAR, SAE 51416 TP416, ASTM A582.</v>
          </cell>
          <cell r="F115" t="str">
            <v>AWS Domestic Product Family</v>
          </cell>
          <cell r="G115" t="str">
            <v>0.1 (Design)</v>
          </cell>
          <cell r="H115" t="str">
            <v>Released-Published</v>
          </cell>
          <cell r="I115" t="str">
            <v>2022-01-23 01:38 EST</v>
          </cell>
          <cell r="J115" t="str">
            <v>2022-01-22 16:06 EST</v>
          </cell>
          <cell r="K115" t="str">
            <v>NA-Not Applicable</v>
          </cell>
          <cell r="L115" t="str">
            <v>Yes</v>
          </cell>
          <cell r="M115" t="str">
            <v>ECR's: (23024)121111; ESV: (1) GAM INDUSTRIES;     (2) MEDCO INC.</v>
          </cell>
        </row>
        <row r="116">
          <cell r="C116" t="str">
            <v>DP0890</v>
          </cell>
          <cell r="D116" t="str">
            <v>STUD PROPELLER 1/4DIAX3-25/64</v>
          </cell>
          <cell r="E116" t="str">
            <v>LOCKING STUD, PROPELLER: TYPE 416 STAINLESS STEEL BAR, SAE 51416 TP416, ASTM A582.</v>
          </cell>
          <cell r="F116" t="str">
            <v>AWS Domestic Product Family</v>
          </cell>
          <cell r="G116" t="str">
            <v>0.1 (Design)</v>
          </cell>
          <cell r="H116" t="str">
            <v>Released-Published</v>
          </cell>
          <cell r="I116" t="str">
            <v>2022-01-23 01:38 EST</v>
          </cell>
          <cell r="J116" t="str">
            <v>2022-01-22 16:06 EST</v>
          </cell>
          <cell r="K116" t="str">
            <v>NA-Not Applicable</v>
          </cell>
          <cell r="L116" t="str">
            <v>Yes</v>
          </cell>
          <cell r="M116" t="str">
            <v>ECR's: (23024)121111; ESV: (1) GAM INDUSTRIES;     (2) MEDCO INC.</v>
          </cell>
        </row>
        <row r="117">
          <cell r="C117" t="str">
            <v>DP0892</v>
          </cell>
          <cell r="D117" t="str">
            <v>STUD PROPELLER 1/4DIAX5-41/64</v>
          </cell>
          <cell r="E117" t="str">
            <v>LOCKING STUD, PROPELLER: TYPE 416 STAINLESS STEEL BAR, SAE 51416 TP416, ASTM A582;</v>
          </cell>
          <cell r="F117" t="str">
            <v>AWS Domestic Product Family</v>
          </cell>
          <cell r="G117" t="str">
            <v>0.1 (Design)</v>
          </cell>
          <cell r="H117" t="str">
            <v>Released-Published</v>
          </cell>
          <cell r="I117" t="str">
            <v>2022-01-23 01:38 EST</v>
          </cell>
          <cell r="J117" t="str">
            <v>2022-01-22 16:06 EST</v>
          </cell>
          <cell r="K117" t="str">
            <v>NA-Not Applicable</v>
          </cell>
          <cell r="L117" t="str">
            <v>Yes</v>
          </cell>
          <cell r="M117" t="str">
            <v>ECR's: (23024)121111; ESV: (1) GAM INDUSTRIES;     (2) MEDCO INC.</v>
          </cell>
        </row>
        <row r="118">
          <cell r="C118" t="str">
            <v>F11400</v>
          </cell>
          <cell r="D118" t="str">
            <v>NUT HEX LGT    1/2-13UNC-2B</v>
          </cell>
          <cell r="E118" t="str">
            <v>NUT, HEXAGON; 1/2" - 13 UNC-2B;AMERICAN STANDARD LIGHT SEMI-FINISHED - STEEL;ZINC PLATED;</v>
          </cell>
          <cell r="F118" t="str">
            <v>AWS Hoffman Product Family</v>
          </cell>
          <cell r="G118" t="str">
            <v>0.0 (Design)</v>
          </cell>
          <cell r="H118" t="str">
            <v>Released-Published</v>
          </cell>
          <cell r="I118" t="str">
            <v>2022-01-22 15:59 EST</v>
          </cell>
          <cell r="J118" t="str">
            <v>2022-01-22 15:59 EST</v>
          </cell>
          <cell r="K118" t="str">
            <v>NA-Not Applicable</v>
          </cell>
          <cell r="L118" t="str">
            <v>No</v>
          </cell>
          <cell r="M118" t="str">
            <v>ECR's: (14571)031290(23024)121111;</v>
          </cell>
        </row>
        <row r="119">
          <cell r="C119" t="str">
            <v>F12200</v>
          </cell>
          <cell r="D119" t="str">
            <v>PLUG SQ HD     2-1/2NPT</v>
          </cell>
          <cell r="E119" t="str">
            <v>PLUG SQ. HD. CAST IRON BLACK ASA CORED;2-1/2"NPT.</v>
          </cell>
          <cell r="F119" t="str">
            <v>AWS Domestic Product Family</v>
          </cell>
          <cell r="G119" t="str">
            <v>0.0 (Design)</v>
          </cell>
          <cell r="H119" t="str">
            <v>Released-Published</v>
          </cell>
          <cell r="I119" t="str">
            <v>2022-01-22 16:00 EST</v>
          </cell>
          <cell r="J119" t="str">
            <v>2022-01-22 16:00 EST</v>
          </cell>
          <cell r="K119" t="str">
            <v>NA-Not Applicable</v>
          </cell>
          <cell r="L119" t="str">
            <v>No</v>
          </cell>
          <cell r="M119" t="str">
            <v>ECR's: (23024)121111;</v>
          </cell>
        </row>
        <row r="120">
          <cell r="C120" t="str">
            <v>F16600</v>
          </cell>
          <cell r="D120" t="str">
            <v>NUT,PACKING    3/4-16UNF-2A</v>
          </cell>
          <cell r="E120" t="str">
            <v>3/4" HEX, 3/4"-16UNF-2A THREAD, ASTM B16 ALLOY C36000 BRASS, HALF HARD.</v>
          </cell>
          <cell r="F120" t="str">
            <v>AWS Hoffman Product Family</v>
          </cell>
          <cell r="G120" t="str">
            <v>0.1 (Design)</v>
          </cell>
          <cell r="H120" t="str">
            <v>Released-Published</v>
          </cell>
          <cell r="I120" t="str">
            <v>2022-01-23 01:40 EST</v>
          </cell>
          <cell r="J120" t="str">
            <v>2022-01-22 15:59 EST</v>
          </cell>
          <cell r="K120" t="str">
            <v>NA-Not Applicable</v>
          </cell>
          <cell r="L120" t="str">
            <v>No</v>
          </cell>
          <cell r="M120" t="str">
            <v>ECR's: (14677)062090(23024)121111;</v>
          </cell>
        </row>
        <row r="121">
          <cell r="C121" t="str">
            <v>F19200</v>
          </cell>
          <cell r="D121" t="str">
            <v>CAPSCREW,HEX HD1/2-13UNCX2-1/4</v>
          </cell>
          <cell r="E121" t="str">
            <v>CAPSCREW, HEX. HEAD; 1/2" DIA 13 UNC-2A X 2-1/4";DIMENSIONS TO CONFORM TO ANSI STANDARD B18.2.1;LOW CARBON STEEL, SAE GRADE 2. ZINC PLATED;</v>
          </cell>
          <cell r="F121" t="str">
            <v>AWS Hoffman Product Family</v>
          </cell>
          <cell r="G121" t="str">
            <v>0.0 (Design)</v>
          </cell>
          <cell r="H121" t="str">
            <v>Released-Published</v>
          </cell>
          <cell r="I121" t="str">
            <v>2022-01-22 15:42 EST</v>
          </cell>
          <cell r="J121" t="str">
            <v>2022-01-22 15:42 EST</v>
          </cell>
          <cell r="K121" t="str">
            <v>NA-Not Applicable</v>
          </cell>
          <cell r="L121" t="str">
            <v>No</v>
          </cell>
          <cell r="M121" t="str">
            <v>ECR's: (14571)031290(23024)121111;</v>
          </cell>
        </row>
        <row r="122">
          <cell r="C122" t="str">
            <v>F42800</v>
          </cell>
          <cell r="D122" t="str">
            <v>SNAP RING</v>
          </cell>
          <cell r="E122" t="str">
            <v>SNAP RING 1/4" DIA. OF SHAFT-CRESCENT -EXTERNAL-RETAINING RING, STEEL.</v>
          </cell>
          <cell r="F122" t="str">
            <v>AWS Hoffman Product Family</v>
          </cell>
          <cell r="G122" t="str">
            <v>0.1 (Design)</v>
          </cell>
          <cell r="H122" t="str">
            <v>Released-Published</v>
          </cell>
          <cell r="I122" t="str">
            <v>2022-04-19 17:59 EDT</v>
          </cell>
          <cell r="J122" t="str">
            <v>2022-01-22 16:05 EST</v>
          </cell>
          <cell r="K122" t="str">
            <v>NA-Not Applicable</v>
          </cell>
          <cell r="L122" t="str">
            <v>Yes</v>
          </cell>
          <cell r="M122" t="str">
            <v>ECR's: (17319)060497(23024)121111; ESV: 1) INDUSTRIAL RETAINING RING CO -- NO.2000-25-ST "STACKED";     2) TRUARC RETAINING RING --NO.5103-25-S;     3) ROTOCLIP -- NO. C-25STPAS;</v>
          </cell>
        </row>
        <row r="123">
          <cell r="C123" t="str">
            <v>H27600</v>
          </cell>
          <cell r="D123" t="str">
            <v>CAPSCREW,HEX HD5/16-18NCX1-1/4</v>
          </cell>
          <cell r="E123" t="str">
            <v>CAPSCREW, HEX. HEAD 5/16" DIA -18 UNC-2A X 1-1/4" LG.STEEL;DIMENSIONS TO CONFORM TO ANSI STANDARD B18.2.1;LOW CARBON STEEL, SAE GRADE 5. ZINC PLATED;</v>
          </cell>
          <cell r="F123" t="str">
            <v>AWS MG Production Drawings</v>
          </cell>
          <cell r="G123" t="str">
            <v>0.0 (Design)</v>
          </cell>
          <cell r="H123" t="str">
            <v>Released-Published</v>
          </cell>
          <cell r="I123" t="str">
            <v>2022-01-22 15:42 EST</v>
          </cell>
          <cell r="J123" t="str">
            <v>2022-01-22 15:42 EST</v>
          </cell>
          <cell r="K123" t="str">
            <v>NA-Not Applicable</v>
          </cell>
          <cell r="L123" t="str">
            <v>No</v>
          </cell>
          <cell r="M123" t="str">
            <v>ECR's: (14571)031290(22776)101011(23024)121111;</v>
          </cell>
        </row>
        <row r="124">
          <cell r="C124" t="str">
            <v>H28100</v>
          </cell>
          <cell r="D124" t="str">
            <v>CAPSCREW,HEX HD3/8-16UNCX1-3/4</v>
          </cell>
          <cell r="E124" t="str">
            <v>CAPSCREW, HEX. HEAD; 3/8" DIA;16 UNC-2A X 1-3/4" LG. STEEL;DIMENSIONS TO CONFORM TO ANSI STANDARD B18.2.1;LOW CARBON STEEL,SAE GRADE 2. ZINC PLATED;</v>
          </cell>
          <cell r="F124" t="str">
            <v>AWS MG Production Drawings</v>
          </cell>
          <cell r="G124" t="str">
            <v>0.0 (Design)</v>
          </cell>
          <cell r="H124" t="str">
            <v>Released-Published</v>
          </cell>
          <cell r="I124" t="str">
            <v>2022-01-22 15:42 EST</v>
          </cell>
          <cell r="J124" t="str">
            <v>2022-01-22 15:42 EST</v>
          </cell>
          <cell r="K124" t="str">
            <v>NA-Not Applicable</v>
          </cell>
          <cell r="L124" t="str">
            <v>No</v>
          </cell>
          <cell r="M124" t="str">
            <v>ECR's: (14571)031290(23024)121111;</v>
          </cell>
        </row>
        <row r="125">
          <cell r="C125" t="str">
            <v>H28200</v>
          </cell>
          <cell r="D125" t="str">
            <v>CAPSCREW,HEX HD 3/8-16UNC X 2</v>
          </cell>
          <cell r="E125" t="str">
            <v>CAPSCREW, HEX. HEAD; 3/8 DIA;16 UNC-2A X 2" LG. STEEL;DIMENSIONS TO CONFORM TO ANSI STANDARD B18.2.1;LOW CARBON STEEL, SAE GRADE 2. ZINC PLATED;</v>
          </cell>
          <cell r="F125" t="str">
            <v>AWS MG Production Drawings</v>
          </cell>
          <cell r="G125" t="str">
            <v>0.0 (Design)</v>
          </cell>
          <cell r="H125" t="str">
            <v>Released-Published</v>
          </cell>
          <cell r="I125" t="str">
            <v>2022-01-22 15:42 EST</v>
          </cell>
          <cell r="J125" t="str">
            <v>2022-01-22 15:42 EST</v>
          </cell>
          <cell r="K125" t="str">
            <v>NA-Not Applicable</v>
          </cell>
          <cell r="L125" t="str">
            <v>No</v>
          </cell>
          <cell r="M125" t="str">
            <v>ECR's: (14571)031290(23024)121111;</v>
          </cell>
        </row>
        <row r="126">
          <cell r="C126" t="str">
            <v>H28800</v>
          </cell>
          <cell r="D126" t="str">
            <v>CAPSCREW HEX HD 1/2-13UNCX3LG</v>
          </cell>
          <cell r="E126" t="str">
            <v>CAPSCREW,HEX.HEAD; 1/2-13 UNC-2A X 3" LONG. DIMENSIONS TO CONFORM TO ANSI STANDARD B18.2.1;ASTM-A449/SAE-J429 GRADE 5, STEEL. ZINC PLATED;</v>
          </cell>
          <cell r="F126" t="str">
            <v>AWS MG Production Drawings</v>
          </cell>
          <cell r="G126" t="str">
            <v>0.0 (Design)</v>
          </cell>
          <cell r="H126" t="str">
            <v>Released-Published</v>
          </cell>
          <cell r="I126" t="str">
            <v>2022-01-22 15:42 EST</v>
          </cell>
          <cell r="J126" t="str">
            <v>2022-01-22 15:42 EST</v>
          </cell>
          <cell r="K126" t="str">
            <v>NA-Not Applicable</v>
          </cell>
          <cell r="L126" t="str">
            <v>No</v>
          </cell>
          <cell r="M126" t="str">
            <v>ECR's: (15824)030393(21280)111706(23024)121111;</v>
          </cell>
        </row>
        <row r="127">
          <cell r="C127" t="str">
            <v>H32400</v>
          </cell>
          <cell r="D127" t="str">
            <v>KEY SHAFT</v>
          </cell>
          <cell r="E127" t="str">
            <v>KEY: SHAFT 3/16"TK. X 3/4"NOM. SIZE;MILD CARBON-STEEL KEY STOCK, SAE-1035;</v>
          </cell>
          <cell r="F127" t="str">
            <v>AWS MG In-Line Pumps</v>
          </cell>
          <cell r="G127" t="str">
            <v>0.0 (Design)</v>
          </cell>
          <cell r="H127" t="str">
            <v>Released-Published</v>
          </cell>
          <cell r="I127" t="str">
            <v>2022-01-22 15:55 EST</v>
          </cell>
          <cell r="J127" t="str">
            <v>2022-01-22 15:55 EST</v>
          </cell>
          <cell r="K127" t="str">
            <v>NA-Not Applicable</v>
          </cell>
          <cell r="L127" t="str">
            <v>Yes</v>
          </cell>
          <cell r="M127" t="str">
            <v>ECR's: (23024)121111; ESV: 1) GALGER MFG., ROCKFORD ILL. --- #606;</v>
          </cell>
        </row>
        <row r="128">
          <cell r="C128" t="str">
            <v>H47900</v>
          </cell>
          <cell r="D128" t="str">
            <v>PLUG SQ HD     1/2NPT</v>
          </cell>
          <cell r="E128" t="str">
            <v>PLUG, PIPE, 1/2" NPT 'ASA', SQ. HD. SOLID; CAST IRON, BLACK;</v>
          </cell>
          <cell r="F128" t="str">
            <v>AWS MG Production Drawings</v>
          </cell>
          <cell r="G128" t="str">
            <v>0.0 (Design)</v>
          </cell>
          <cell r="H128" t="str">
            <v>Released-Published</v>
          </cell>
          <cell r="I128" t="str">
            <v>2022-01-22 16:00 EST</v>
          </cell>
          <cell r="J128" t="str">
            <v>2022-01-22 16:00 EST</v>
          </cell>
          <cell r="K128" t="str">
            <v>NSF</v>
          </cell>
          <cell r="L128" t="str">
            <v>No</v>
          </cell>
          <cell r="M128" t="str">
            <v>ECR's: (23024)121111(24158)121514;</v>
          </cell>
        </row>
        <row r="129">
          <cell r="C129" t="str">
            <v>H52100</v>
          </cell>
          <cell r="D129" t="str">
            <v>CAPSCREW,HEX HD 3/8-16NCX1-1/2</v>
          </cell>
          <cell r="E129" t="str">
            <v>CAPSCREW, HEX. HEAD 3/8" DIA;16 UNC 2A X 1-1/2" LG. STEEL;DIMENIONS TO CONFORM TO ANSI STANDARD B18.2.1;LOW CARBON STEEL, SAE GRADE 2. ZINC PLATED;</v>
          </cell>
          <cell r="F129" t="str">
            <v>AWS MG Production Drawings</v>
          </cell>
          <cell r="G129" t="str">
            <v>0.0 (Design)</v>
          </cell>
          <cell r="H129" t="str">
            <v>Released-Published</v>
          </cell>
          <cell r="I129" t="str">
            <v>2022-01-22 15:42 EST</v>
          </cell>
          <cell r="J129" t="str">
            <v>2022-01-22 15:42 EST</v>
          </cell>
          <cell r="K129" t="str">
            <v>NA-Not Applicable</v>
          </cell>
          <cell r="L129" t="str">
            <v>No</v>
          </cell>
          <cell r="M129" t="str">
            <v>ECR's: (14571)031290(23024)121111;</v>
          </cell>
        </row>
        <row r="130">
          <cell r="C130" t="str">
            <v>J04834</v>
          </cell>
          <cell r="D130" t="str">
            <v>PIPE PLUG 1/4" NPT</v>
          </cell>
          <cell r="E130" t="str">
            <v>PLUG,SOCKET HD. HEX. SOCKET PLUG - 1/4" - 18 NPT BRASS;C38500 BRASS OR EQUIVALENTT;</v>
          </cell>
          <cell r="F130" t="str">
            <v>AWS MG Production Drawings</v>
          </cell>
          <cell r="G130" t="str">
            <v>0.1 (Design)</v>
          </cell>
          <cell r="H130" t="str">
            <v>Released-Published</v>
          </cell>
          <cell r="I130" t="str">
            <v>2022-01-23 01:40 EST</v>
          </cell>
          <cell r="J130" t="str">
            <v>2022-01-22 16:00 EST</v>
          </cell>
          <cell r="K130" t="str">
            <v>NA-Not Applicable</v>
          </cell>
          <cell r="L130" t="str">
            <v>No</v>
          </cell>
          <cell r="M130" t="str">
            <v>ECR's: (22811)011711(23024)121111;</v>
          </cell>
        </row>
        <row r="131">
          <cell r="C131" t="str">
            <v>J23874</v>
          </cell>
          <cell r="D131" t="str">
            <v>LOCKWASHER     3/8 BOLT SIZE</v>
          </cell>
          <cell r="E131" t="str">
            <v>LOCKWASHER SPLIT RING SPRING TYPE, 3/8" BOLT SIZE;MEDIUM #18-8 STAINLESS STEEL.</v>
          </cell>
          <cell r="F131" t="str">
            <v>AWS MG Production Drawings</v>
          </cell>
          <cell r="G131" t="str">
            <v>0.0 (Design)</v>
          </cell>
          <cell r="H131" t="str">
            <v>Released-Published</v>
          </cell>
          <cell r="I131" t="str">
            <v>2022-01-22 15:57 EST</v>
          </cell>
          <cell r="J131" t="str">
            <v>2022-01-22 15:57 EST</v>
          </cell>
          <cell r="K131" t="str">
            <v>NSF</v>
          </cell>
          <cell r="L131" t="str">
            <v>No</v>
          </cell>
          <cell r="M131" t="str">
            <v>ECR's: (23024)121111(24158)121514;</v>
          </cell>
        </row>
        <row r="132">
          <cell r="C132" t="str">
            <v>J23875</v>
          </cell>
          <cell r="D132" t="str">
            <v>LOCKWASHER     1/2 BOLT SIZE</v>
          </cell>
          <cell r="E132" t="str">
            <v>LOCKWASHER SPLIT RING SPRING TYPE, 1/2" BOLT SIZE, MEDIUM #18-8 STAINLESS STEEL.</v>
          </cell>
          <cell r="F132" t="str">
            <v>AWS MG Production Drawings</v>
          </cell>
          <cell r="G132" t="str">
            <v>0.0 (Design)</v>
          </cell>
          <cell r="H132" t="str">
            <v>Released-Published</v>
          </cell>
          <cell r="I132" t="str">
            <v>2022-01-22 15:57 EST</v>
          </cell>
          <cell r="J132" t="str">
            <v>2022-01-22 15:57 EST</v>
          </cell>
          <cell r="K132" t="str">
            <v>NSF</v>
          </cell>
          <cell r="L132" t="str">
            <v>No</v>
          </cell>
          <cell r="M132" t="str">
            <v>ECR's: (23024)121111(24158)121514;</v>
          </cell>
        </row>
        <row r="133">
          <cell r="C133" t="str">
            <v>J23876</v>
          </cell>
          <cell r="D133" t="str">
            <v>LOCKWASHER     5/8 BOLT SIZE</v>
          </cell>
          <cell r="E133" t="str">
            <v>LOCKWASHER SPLIT RING SPRING TYPE, 5/8" BOLT SIZE, MEDIUM, #18-8 STAINLESS STEEL.</v>
          </cell>
          <cell r="F133" t="str">
            <v>AWS MG Production Drawings</v>
          </cell>
          <cell r="G133" t="str">
            <v>0.0 (Design)</v>
          </cell>
          <cell r="H133" t="str">
            <v>Released-Published</v>
          </cell>
          <cell r="I133" t="str">
            <v>2022-01-22 15:57 EST</v>
          </cell>
          <cell r="J133" t="str">
            <v>2022-01-22 15:57 EST</v>
          </cell>
          <cell r="K133" t="str">
            <v>NSF</v>
          </cell>
          <cell r="L133" t="str">
            <v>No</v>
          </cell>
          <cell r="M133" t="str">
            <v>ECR's: (23024)121111(24158)121514;</v>
          </cell>
        </row>
        <row r="134">
          <cell r="C134" t="str">
            <v>J32830</v>
          </cell>
          <cell r="D134" t="str">
            <v>KEY,SHAFT      3/8SQ X 2"LG</v>
          </cell>
          <cell r="E134" t="str">
            <v>KEY,SHAFT: CARBON STEEL BAR STOCK,COLD DRAWN. ASTM A108 GR. C1018. 3/8" SQ. X 2" LG.</v>
          </cell>
          <cell r="F134" t="str">
            <v>AWS MG Production Drawings</v>
          </cell>
          <cell r="G134" t="str">
            <v>0.1 (Design)</v>
          </cell>
          <cell r="H134" t="str">
            <v>Released-Published</v>
          </cell>
          <cell r="I134" t="str">
            <v>2022-01-23 01:40 EST</v>
          </cell>
          <cell r="J134" t="str">
            <v>2022-01-22 15:55 EST</v>
          </cell>
          <cell r="K134" t="str">
            <v>NA-Not Applicable</v>
          </cell>
          <cell r="L134" t="str">
            <v>No</v>
          </cell>
          <cell r="M134" t="str">
            <v>ECR's: (23024)121111;</v>
          </cell>
        </row>
        <row r="135">
          <cell r="C135" t="str">
            <v>J88925</v>
          </cell>
          <cell r="D135" t="str">
            <v>CONN MALE FLARE 3/8OD X 1/8MPT</v>
          </cell>
          <cell r="E135" t="str">
            <v>CONNECTOR; MALE:(COMP'R.);3/8" O.D. OF TUBE X 1/8" MPT; EXTRUDED BRASS ROD;</v>
          </cell>
          <cell r="F135" t="str">
            <v>AWS MG Production Drawings</v>
          </cell>
          <cell r="G135" t="str">
            <v>0.0 (Design)</v>
          </cell>
          <cell r="H135" t="str">
            <v>Released-Published</v>
          </cell>
          <cell r="I135" t="str">
            <v>2022-01-22 15:44 EST</v>
          </cell>
          <cell r="J135" t="str">
            <v>2022-01-22 15:44 EST</v>
          </cell>
          <cell r="K135" t="str">
            <v>NA-Not Applicable</v>
          </cell>
          <cell r="L135" t="str">
            <v>Yes</v>
          </cell>
          <cell r="M135" t="str">
            <v>ECR's: (23024)121111; ESV: 1)IMPERIAL EASTMAN CO.--- PART NO. 68-F;</v>
          </cell>
        </row>
        <row r="136">
          <cell r="C136" t="str">
            <v>J89080</v>
          </cell>
          <cell r="D136" t="str">
            <v>ELBOW 90       1/8NPT</v>
          </cell>
          <cell r="E136" t="str">
            <v>ELBOW 90 DEGREE 1/8" NPT, 150# MALLEABLE IRON, BLACK.</v>
          </cell>
          <cell r="F136" t="str">
            <v>AWS MG Production Drawings</v>
          </cell>
          <cell r="G136" t="str">
            <v>0.0 (Design)</v>
          </cell>
          <cell r="H136" t="str">
            <v>Released-Published</v>
          </cell>
          <cell r="I136" t="str">
            <v>2022-01-22 15:46 EST</v>
          </cell>
          <cell r="J136" t="str">
            <v>2022-01-22 15:46 EST</v>
          </cell>
          <cell r="K136" t="str">
            <v>NA-Not Applicable</v>
          </cell>
          <cell r="L136" t="str">
            <v>No</v>
          </cell>
          <cell r="M136" t="str">
            <v>ECR's: (23024)121111;</v>
          </cell>
        </row>
        <row r="137">
          <cell r="C137" t="str">
            <v>J89092</v>
          </cell>
          <cell r="D137" t="str">
            <v>ELBOW, 90DEGREE STREET 1/8"NPT</v>
          </cell>
          <cell r="E137" t="str">
            <v>150# MALLEABLE IRON, BLACK. 90DEGREE STREET, 1/8"NPT.</v>
          </cell>
          <cell r="F137" t="str">
            <v>AWS MG Production Drawings</v>
          </cell>
          <cell r="G137" t="str">
            <v>0.0 (Design)</v>
          </cell>
          <cell r="H137" t="str">
            <v>Released-Published</v>
          </cell>
          <cell r="I137" t="str">
            <v>2022-01-22 15:46 EST</v>
          </cell>
          <cell r="J137" t="str">
            <v>2022-01-22 15:46 EST</v>
          </cell>
          <cell r="K137" t="str">
            <v>NA-Not Applicable</v>
          </cell>
          <cell r="L137" t="str">
            <v>No</v>
          </cell>
          <cell r="M137" t="str">
            <v>ECR's: (14719)101990(23024)121111(24934)070517;</v>
          </cell>
        </row>
        <row r="138">
          <cell r="C138" t="str">
            <v>J89453</v>
          </cell>
          <cell r="D138" t="str">
            <v>PLUG SQ HD     1/2NPT</v>
          </cell>
          <cell r="E138" t="str">
            <v>PLUG; PIPE, SQ. HEAD, 1/2" NPT;STEEL (GALVANIZED);</v>
          </cell>
          <cell r="F138" t="str">
            <v>AWS MG Production Drawings</v>
          </cell>
          <cell r="G138" t="str">
            <v>0.0 (Design)</v>
          </cell>
          <cell r="H138" t="str">
            <v>Released-Published</v>
          </cell>
          <cell r="I138" t="str">
            <v>2022-01-22 16:00 EST</v>
          </cell>
          <cell r="J138" t="str">
            <v>2022-01-22 16:00 EST</v>
          </cell>
          <cell r="K138" t="str">
            <v>NA-Not Applicable</v>
          </cell>
          <cell r="L138" t="str">
            <v>No</v>
          </cell>
          <cell r="M138" t="str">
            <v>ECR's: (23024)121111;</v>
          </cell>
        </row>
        <row r="139">
          <cell r="C139" t="str">
            <v>J89455</v>
          </cell>
          <cell r="D139" t="str">
            <v>PLUG SQ HD     1NPT</v>
          </cell>
          <cell r="E139" t="str">
            <v>PLUG; PIPE, SQ. HD. CORED; 1" NPT CAST IRON, GALVANIZED.</v>
          </cell>
          <cell r="F139" t="str">
            <v>AWS MG Production Drawings</v>
          </cell>
          <cell r="G139" t="str">
            <v>0.0 (Design)</v>
          </cell>
          <cell r="H139" t="str">
            <v>Released-Published</v>
          </cell>
          <cell r="I139" t="str">
            <v>2022-01-22 16:00 EST</v>
          </cell>
          <cell r="J139" t="str">
            <v>2022-01-22 16:00 EST</v>
          </cell>
          <cell r="K139" t="str">
            <v>NA-Not Applicable</v>
          </cell>
          <cell r="L139" t="str">
            <v>No</v>
          </cell>
          <cell r="M139" t="str">
            <v>ECR's: (23024)121111;</v>
          </cell>
        </row>
        <row r="140">
          <cell r="C140" t="str">
            <v>J91634</v>
          </cell>
          <cell r="D140" t="str">
            <v>NUT HX JAM     1/2-13UNC-2B</v>
          </cell>
          <cell r="E140" t="str">
            <v>1/2" DIA. 13UNC-2B BRASS; COMM. QUAL.</v>
          </cell>
          <cell r="F140" t="str">
            <v>AWS MG Valves General Data</v>
          </cell>
          <cell r="G140" t="str">
            <v>0.0 (Design)</v>
          </cell>
          <cell r="H140" t="str">
            <v>Released-Published</v>
          </cell>
          <cell r="I140" t="str">
            <v>2022-01-22 15:59 EST</v>
          </cell>
          <cell r="J140" t="str">
            <v>2022-01-22 15:59 EST</v>
          </cell>
          <cell r="K140" t="str">
            <v>NA-Not Applicable</v>
          </cell>
          <cell r="L140" t="str">
            <v>No</v>
          </cell>
          <cell r="M140" t="str">
            <v>ECR's: (23024)121111;</v>
          </cell>
        </row>
        <row r="141">
          <cell r="C141" t="str">
            <v>J91635</v>
          </cell>
          <cell r="D141" t="str">
            <v>NUT HEX JAM    5/8-18UNC-2B</v>
          </cell>
          <cell r="E141" t="str">
            <v>5/8-18UNF-2B-BRASS.</v>
          </cell>
          <cell r="F141" t="str">
            <v>AWS MG Valves General Data</v>
          </cell>
          <cell r="G141" t="str">
            <v>0.0 (Design)</v>
          </cell>
          <cell r="H141" t="str">
            <v>Released-Published</v>
          </cell>
          <cell r="I141" t="str">
            <v>2022-01-22 15:59 EST</v>
          </cell>
          <cell r="J141" t="str">
            <v>2022-01-22 15:59 EST</v>
          </cell>
          <cell r="K141" t="str">
            <v>NA-Not Applicable</v>
          </cell>
          <cell r="L141" t="str">
            <v>No</v>
          </cell>
          <cell r="M141" t="str">
            <v>ECR's: (23024)121111;</v>
          </cell>
        </row>
        <row r="142">
          <cell r="C142" t="str">
            <v>J91636</v>
          </cell>
          <cell r="D142" t="str">
            <v>NUT HEX JAM    3/4-10UNC-2B</v>
          </cell>
          <cell r="E142" t="str">
            <v>3/4"-10UNC-2B-BRASS;</v>
          </cell>
          <cell r="F142" t="str">
            <v>AWS MG Valves General Data</v>
          </cell>
          <cell r="G142" t="str">
            <v>0.0 (Design)</v>
          </cell>
          <cell r="H142" t="str">
            <v>Released-Published</v>
          </cell>
          <cell r="I142" t="str">
            <v>2022-01-22 15:59 EST</v>
          </cell>
          <cell r="J142" t="str">
            <v>2022-01-22 15:59 EST</v>
          </cell>
          <cell r="K142" t="str">
            <v>NA-Not Applicable</v>
          </cell>
          <cell r="L142" t="str">
            <v>No</v>
          </cell>
          <cell r="M142" t="str">
            <v>ECR's: (23024)121111;</v>
          </cell>
        </row>
        <row r="143">
          <cell r="C143" t="str">
            <v>J91637</v>
          </cell>
          <cell r="D143" t="str">
            <v>NUT HEX JAM    1 IN-8UNC-2B</v>
          </cell>
          <cell r="E143" t="str">
            <v>1"8UNC-2B-BRASS.</v>
          </cell>
          <cell r="F143" t="str">
            <v>AWS MG Valves General Data</v>
          </cell>
          <cell r="G143" t="str">
            <v>0.0 (Design)</v>
          </cell>
          <cell r="H143" t="str">
            <v>Released-Published</v>
          </cell>
          <cell r="I143" t="str">
            <v>2022-01-22 15:59 EST</v>
          </cell>
          <cell r="J143" t="str">
            <v>2022-01-22 15:59 EST</v>
          </cell>
          <cell r="K143" t="str">
            <v>NA-Not Applicable</v>
          </cell>
          <cell r="L143" t="str">
            <v>No</v>
          </cell>
          <cell r="M143" t="str">
            <v>ECR's: (23024)121111;</v>
          </cell>
        </row>
        <row r="144">
          <cell r="C144" t="str">
            <v>J91649</v>
          </cell>
          <cell r="D144" t="str">
            <v>WASHER STD     FOR 3/8 SCREW</v>
          </cell>
          <cell r="E144" t="str">
            <v>WASHER: SAE STD (FOR 3/8" SCREW);13/32" I.D. X 13/16" O.D. X 1/16" THK.-#430 STAINLESS STEEL.</v>
          </cell>
          <cell r="F144" t="str">
            <v>AWS MG Production Drawings</v>
          </cell>
          <cell r="G144" t="str">
            <v>0.0 (Design)</v>
          </cell>
          <cell r="H144" t="str">
            <v>Released-Published</v>
          </cell>
          <cell r="I144" t="str">
            <v>2022-01-22 16:11 EST</v>
          </cell>
          <cell r="J144" t="str">
            <v>2022-01-22 16:11 EST</v>
          </cell>
          <cell r="K144" t="str">
            <v>NA-Not Applicable</v>
          </cell>
          <cell r="L144" t="str">
            <v>No</v>
          </cell>
          <cell r="M144" t="str">
            <v>ECR's: (23024)121111;</v>
          </cell>
        </row>
        <row r="145">
          <cell r="C145" t="str">
            <v>J91659</v>
          </cell>
          <cell r="D145" t="str">
            <v>NUT HEX STD    3/8-16UNC-2B</v>
          </cell>
          <cell r="E145" t="str">
            <v>AMERICAN STD. STAINLESS;STEEL-ASTM A276, TYPE 302,TYPE 304, OR TYPE 305.</v>
          </cell>
          <cell r="F145" t="str">
            <v>AWS MG Production Drawings</v>
          </cell>
          <cell r="G145" t="str">
            <v>0.0 (Design)</v>
          </cell>
          <cell r="H145" t="str">
            <v>Released-Published</v>
          </cell>
          <cell r="I145" t="str">
            <v>2022-01-22 15:59 EST</v>
          </cell>
          <cell r="J145" t="str">
            <v>2022-01-22 15:59 EST</v>
          </cell>
          <cell r="K145" t="str">
            <v>NA-Not Applicable</v>
          </cell>
          <cell r="L145" t="str">
            <v>No</v>
          </cell>
          <cell r="M145" t="str">
            <v>ECR's: (20141)102703(23024)121111;</v>
          </cell>
        </row>
        <row r="146">
          <cell r="C146" t="str">
            <v>J91726</v>
          </cell>
          <cell r="D146" t="str">
            <v>THREAD FORM SCREW 5/16X3/4 LG</v>
          </cell>
          <cell r="E146" t="str">
            <v>CAPSCREW, HEX WASHER HD. 5/16" DIA.-18 X 3/4" LG. THREAD FORMING SCREW;PER-ANSI B18.6.4;STEEL, ZINC PLATED;</v>
          </cell>
          <cell r="F146" t="str">
            <v>AWS MG Production Drawings</v>
          </cell>
          <cell r="G146" t="str">
            <v>0.0 (Design)</v>
          </cell>
          <cell r="H146" t="str">
            <v>Released-Published</v>
          </cell>
          <cell r="I146" t="str">
            <v>2022-01-22 16:07 EST</v>
          </cell>
          <cell r="J146" t="str">
            <v>2022-01-22 16:07 EST</v>
          </cell>
          <cell r="K146" t="str">
            <v>NA-Not Applicable</v>
          </cell>
          <cell r="L146" t="str">
            <v>Yes</v>
          </cell>
          <cell r="M146" t="str">
            <v>ECR's: (23024)121111; ESV: 1) SWAGEFORM-- THREAD TYPE SW;     2) TAPTITE--- THREAD TYPE TT;</v>
          </cell>
        </row>
        <row r="147">
          <cell r="C147" t="str">
            <v>J91727</v>
          </cell>
          <cell r="D147" t="str">
            <v>CAPSCREW HEX HD 3/8-16UNCX1"LG</v>
          </cell>
          <cell r="E147" t="str">
            <v>3/8" DIA. - 16UNC-2A X 1" LG. TYPE 304 STAINLESS STEEL. DIMENSIONS TO CONFORM TO ANSI STANDARD B18.2.1.</v>
          </cell>
          <cell r="F147" t="str">
            <v>AWS MG Production Drawings</v>
          </cell>
          <cell r="G147" t="str">
            <v>0.0 (Design)</v>
          </cell>
          <cell r="H147" t="str">
            <v>Released-Published</v>
          </cell>
          <cell r="I147" t="str">
            <v>2022-01-22 15:42 EST</v>
          </cell>
          <cell r="J147" t="str">
            <v>2022-01-22 15:42 EST</v>
          </cell>
          <cell r="K147" t="str">
            <v>NA-Not Applicable</v>
          </cell>
          <cell r="L147" t="str">
            <v>No</v>
          </cell>
          <cell r="M147" t="str">
            <v>ECR's: (23024)121111;</v>
          </cell>
        </row>
        <row r="148">
          <cell r="C148" t="str">
            <v>J91731</v>
          </cell>
          <cell r="D148" t="str">
            <v>CAPSCREW, HEX HD5/8-11NCX2-1/4</v>
          </cell>
          <cell r="E148" t="str">
            <v>5/8"DIA.-11UNC-2AX2-1/4"LG. ASTM-A449/SAE-J429 GRADE 5, STEEL.</v>
          </cell>
          <cell r="F148" t="str">
            <v>AWS MG Production Drawings</v>
          </cell>
          <cell r="G148" t="str">
            <v>0.0 (Design)</v>
          </cell>
          <cell r="H148" t="str">
            <v>Released-Published</v>
          </cell>
          <cell r="I148" t="str">
            <v>2022-01-22 15:42 EST</v>
          </cell>
          <cell r="J148" t="str">
            <v>2022-01-22 15:42 EST</v>
          </cell>
          <cell r="K148" t="str">
            <v>NA-Not Applicable</v>
          </cell>
          <cell r="L148" t="str">
            <v>No</v>
          </cell>
          <cell r="M148" t="str">
            <v>ECR's: (16029)080993(23024)121111;</v>
          </cell>
        </row>
        <row r="149">
          <cell r="C149" t="str">
            <v>J91988</v>
          </cell>
          <cell r="D149" t="str">
            <v>SET SCR SKT HD  1/4-20UNCX5/16</v>
          </cell>
          <cell r="E149" t="str">
            <v>HEX SOCKET, CUP POINT, BLACK ALLOY ST'L;1/4" DIA.-20UNC-3A X 5/16" LG.</v>
          </cell>
          <cell r="F149" t="str">
            <v>AWS MG Production Drawings</v>
          </cell>
          <cell r="G149" t="str">
            <v>0.0 (Design)</v>
          </cell>
          <cell r="H149" t="str">
            <v>Released-Published</v>
          </cell>
          <cell r="I149" t="str">
            <v>2022-01-22 16:04 EST</v>
          </cell>
          <cell r="J149" t="str">
            <v>2022-01-22 16:04 EST</v>
          </cell>
          <cell r="K149" t="str">
            <v>NA-Not Applicable</v>
          </cell>
          <cell r="L149" t="str">
            <v>No</v>
          </cell>
          <cell r="M149" t="str">
            <v>ECR's: (23024)121111;</v>
          </cell>
        </row>
        <row r="150">
          <cell r="C150" t="str">
            <v>J92017</v>
          </cell>
          <cell r="D150" t="str">
            <v>CAPSCREW HEX HD5/8-11UNX2-3/4</v>
          </cell>
          <cell r="E150" t="str">
            <v>CAPSCREW HEX. HEAD 5/8"-11UNC-2A X 2-3/4"LG. STEEL SA-449, TYPE 1 AND 2 AT MANUFACTURER'S OPTION. CCERTIFICATION REQUIRED!;</v>
          </cell>
          <cell r="F150" t="str">
            <v>AWS MG Production Drawings</v>
          </cell>
          <cell r="G150" t="str">
            <v>0.0 (Design)</v>
          </cell>
          <cell r="H150" t="str">
            <v>Released-Published</v>
          </cell>
          <cell r="I150" t="str">
            <v>2022-01-22 15:42 EST</v>
          </cell>
          <cell r="J150" t="str">
            <v>2022-01-22 15:42 EST</v>
          </cell>
          <cell r="K150" t="str">
            <v>NA-Not Applicable</v>
          </cell>
          <cell r="L150" t="str">
            <v>No</v>
          </cell>
          <cell r="M150" t="str">
            <v>ECR's: (17473)101497(23024)121111;</v>
          </cell>
        </row>
        <row r="151">
          <cell r="C151" t="str">
            <v>J92019</v>
          </cell>
          <cell r="D151" t="str">
            <v>CAPSCREW HEX HD5/8-11UNCX1-3/4</v>
          </cell>
          <cell r="E151" t="str">
            <v>5/8" DIA.- 11 UNC-2A X 1-3/4" LG. TYPE 304SS ASTM A276.</v>
          </cell>
          <cell r="F151" t="str">
            <v>AWS MG Production Drawings</v>
          </cell>
          <cell r="G151" t="str">
            <v>0.0 (Design)</v>
          </cell>
          <cell r="H151" t="str">
            <v>Released-Published</v>
          </cell>
          <cell r="I151" t="str">
            <v>2022-01-22 15:42 EST</v>
          </cell>
          <cell r="J151" t="str">
            <v>2022-01-22 15:42 EST</v>
          </cell>
          <cell r="K151" t="str">
            <v>NA-Not Applicable</v>
          </cell>
          <cell r="L151" t="str">
            <v>No</v>
          </cell>
          <cell r="M151" t="str">
            <v>ECR's: (23024)121111;</v>
          </cell>
        </row>
        <row r="152">
          <cell r="C152" t="str">
            <v>J92052</v>
          </cell>
          <cell r="D152" t="str">
            <v>CAPSCREW HEX HD 3/8-16UNC X 2</v>
          </cell>
          <cell r="E152" t="str">
            <v>3/8" DIA.- 16 UNC-2A X 2" LG.-#430 STAINLESS STEEL;</v>
          </cell>
          <cell r="F152" t="str">
            <v>AWS MG Production Drawings</v>
          </cell>
          <cell r="G152" t="str">
            <v>0.0 (Design)</v>
          </cell>
          <cell r="H152" t="str">
            <v>Released-Published</v>
          </cell>
          <cell r="I152" t="str">
            <v>2022-01-22 15:42 EST</v>
          </cell>
          <cell r="J152" t="str">
            <v>2022-01-22 15:42 EST</v>
          </cell>
          <cell r="K152" t="str">
            <v>NA-Not Applicable</v>
          </cell>
          <cell r="L152" t="str">
            <v>No</v>
          </cell>
          <cell r="M152" t="str">
            <v>ECR's: (23024)121111;</v>
          </cell>
        </row>
        <row r="153">
          <cell r="C153" t="str">
            <v>J92054</v>
          </cell>
          <cell r="D153" t="str">
            <v>CAPSCREW HEX HD 7/16-14UNC X 2</v>
          </cell>
          <cell r="E153" t="str">
            <v>7/16" DIA.-14UNC-2A X2"LG. LOW CARBON STEEL, SAE GRADE 2. ZINC PLATED;DIMENSIONS TO CONFORM TO ANSI STD. B18.2.1.</v>
          </cell>
          <cell r="F153" t="str">
            <v>AWS MG Production Drawings</v>
          </cell>
          <cell r="G153" t="str">
            <v>0.0 (Design)</v>
          </cell>
          <cell r="H153" t="str">
            <v>Released-Published</v>
          </cell>
          <cell r="I153" t="str">
            <v>2022-01-22 15:42 EST</v>
          </cell>
          <cell r="J153" t="str">
            <v>2022-01-22 15:42 EST</v>
          </cell>
          <cell r="K153" t="str">
            <v>NA-Not Applicable</v>
          </cell>
          <cell r="L153" t="str">
            <v>No</v>
          </cell>
          <cell r="M153" t="str">
            <v>ECR's: (14571)031290(23024)121111;</v>
          </cell>
        </row>
        <row r="154">
          <cell r="C154" t="str">
            <v>J92135</v>
          </cell>
          <cell r="D154" t="str">
            <v>TAP SCR PAN HD #8-32UNCX3/16LG</v>
          </cell>
          <cell r="E154" t="str">
            <v>SELF TAPPING (THREAD CUTTING), PAN HEAD, PHILLIPS. #8 - 32UNC X 3/16" LG. STEEL, (ZINC PLATED),TYPE "D".</v>
          </cell>
          <cell r="F154" t="str">
            <v>AWS MG Production Drawings</v>
          </cell>
          <cell r="G154" t="str">
            <v>0.0 (Design)</v>
          </cell>
          <cell r="H154" t="str">
            <v>Released-Published</v>
          </cell>
          <cell r="I154" t="str">
            <v>2022-01-22 16:07 EST</v>
          </cell>
          <cell r="J154" t="str">
            <v>2022-01-22 16:07 EST</v>
          </cell>
          <cell r="K154" t="str">
            <v>NA-Not Applicable</v>
          </cell>
          <cell r="L154" t="str">
            <v>No</v>
          </cell>
          <cell r="M154" t="str">
            <v>ECR's: (15760)011893(23024)121111;</v>
          </cell>
        </row>
        <row r="155">
          <cell r="C155" t="str">
            <v>J92141</v>
          </cell>
          <cell r="D155" t="str">
            <v>CAPSCREW HEX HD 7/16-14UNCX3</v>
          </cell>
          <cell r="E155" t="str">
            <v>CAPSCREW HEX. HD. 7/16" DIA. 14UNC-2A X 3"LG. DIMENSIONS TO CONFORM TO ANSI STANDARD B18.2.1;LOW CARBON STEEL, SAE GGRADE 2. ZINC PLATED;</v>
          </cell>
          <cell r="F155" t="str">
            <v>AWS MG Production Drawings</v>
          </cell>
          <cell r="G155" t="str">
            <v>0.0 (Design)</v>
          </cell>
          <cell r="H155" t="str">
            <v>Released-Published</v>
          </cell>
          <cell r="I155" t="str">
            <v>2022-01-22 15:42 EST</v>
          </cell>
          <cell r="J155" t="str">
            <v>2022-01-22 15:42 EST</v>
          </cell>
          <cell r="K155" t="str">
            <v>NA-Not Applicable</v>
          </cell>
          <cell r="L155" t="str">
            <v>No</v>
          </cell>
          <cell r="M155" t="str">
            <v>ECR's: (14571)031290(23024)121111;</v>
          </cell>
        </row>
        <row r="156">
          <cell r="C156" t="str">
            <v>J92271</v>
          </cell>
          <cell r="D156" t="str">
            <v>STUD BOLT 3/8-16X3 ENDRIES</v>
          </cell>
          <cell r="E156" t="str">
            <v>STUD BOLT 3/8" DIA. 16UNC-2A X 3"LG. #303;STAINLESS STEEL (WITH CONTINUOUS THREADS).</v>
          </cell>
          <cell r="F156" t="str">
            <v>AWS MG Production Drawings</v>
          </cell>
          <cell r="G156" t="str">
            <v>0.0 (Design)</v>
          </cell>
          <cell r="H156" t="str">
            <v>Released-Published</v>
          </cell>
          <cell r="I156" t="str">
            <v>2022-01-22 16:06 EST</v>
          </cell>
          <cell r="J156" t="str">
            <v>2022-01-22 16:06 EST</v>
          </cell>
          <cell r="K156" t="str">
            <v>NA-Not Applicable</v>
          </cell>
          <cell r="L156" t="str">
            <v>No</v>
          </cell>
          <cell r="M156" t="str">
            <v>ECR's: (23024)121111;</v>
          </cell>
        </row>
        <row r="157">
          <cell r="C157" t="str">
            <v>J92291</v>
          </cell>
          <cell r="D157" t="str">
            <v>CAPSCREW HEX HD5/16-18NCX3/4</v>
          </cell>
          <cell r="E157" t="str">
            <v>CAPSCREW; HEX. HD. 5/16" DIA - 18 UNC-2A X 3/4";DIMENSIONS TO CONFORM TO ANSI STANDARD B18.2.1;LOW CARBON STEEL, SAE GRADE 2. ZINC PLATED.</v>
          </cell>
          <cell r="F157" t="str">
            <v>AWS MG Production Drawings</v>
          </cell>
          <cell r="G157" t="str">
            <v>0.0 (Design)</v>
          </cell>
          <cell r="H157" t="str">
            <v>Released-Published</v>
          </cell>
          <cell r="I157" t="str">
            <v>2022-01-22 15:42 EST</v>
          </cell>
          <cell r="J157" t="str">
            <v>2022-01-22 15:42 EST</v>
          </cell>
          <cell r="K157" t="str">
            <v>NA-Not Applicable</v>
          </cell>
          <cell r="L157" t="str">
            <v>No</v>
          </cell>
          <cell r="M157" t="str">
            <v>ECR's: (23024)121111;</v>
          </cell>
        </row>
        <row r="158">
          <cell r="C158" t="str">
            <v>J92344</v>
          </cell>
          <cell r="D158" t="str">
            <v>RING,RETAINER</v>
          </cell>
          <cell r="E158" t="str">
            <v>RETAINER RING: STEEL, CORROSION-RETARDANT PHOSPHATE COATING. FREE DIA. .207", .027"THK., .527" O.D., EXTERNAL TYPE.</v>
          </cell>
          <cell r="F158" t="str">
            <v>AWS Hoffman Product Family</v>
          </cell>
          <cell r="G158" t="str">
            <v>0.1 (Design)</v>
          </cell>
          <cell r="H158" t="str">
            <v>Released-Published</v>
          </cell>
          <cell r="I158" t="str">
            <v>2022-04-19 17:59 EDT</v>
          </cell>
          <cell r="J158" t="str">
            <v>2022-01-22 16:02 EST</v>
          </cell>
          <cell r="K158" t="str">
            <v>NA-Not Applicable</v>
          </cell>
          <cell r="L158" t="str">
            <v>Yes</v>
          </cell>
          <cell r="M158" t="str">
            <v>ECR's: (17319)060597(23024)121111; ESV: 1)WALDES TRUARC--- E-RING BOWED PART #5131-25-PP;     2)ROTOCLIP --- P/N BE-25STPA;</v>
          </cell>
        </row>
        <row r="159">
          <cell r="C159" t="str">
            <v>J92377</v>
          </cell>
          <cell r="D159" t="str">
            <v>LOCKWASHER BRG W-14</v>
          </cell>
          <cell r="E159" t="str">
            <v>LOCKWASHER, BRG. W-14 (FOR BALL BRG.); EXTERNAL;TOOTH; BEARING SIZE 14, STEEL;</v>
          </cell>
          <cell r="F159" t="str">
            <v>AWS MG Production Drawings</v>
          </cell>
          <cell r="G159" t="str">
            <v>0.0 (Design)</v>
          </cell>
          <cell r="H159" t="str">
            <v>Released-Published</v>
          </cell>
          <cell r="I159" t="str">
            <v>2022-01-22 15:57 EST</v>
          </cell>
          <cell r="J159" t="str">
            <v>2022-01-22 15:57 EST</v>
          </cell>
          <cell r="K159" t="str">
            <v>NA-Not Applicable</v>
          </cell>
          <cell r="L159" t="str">
            <v>No</v>
          </cell>
          <cell r="M159" t="str">
            <v>ECR's: (23024)121111;</v>
          </cell>
        </row>
        <row r="160">
          <cell r="C160" t="str">
            <v>J92378</v>
          </cell>
          <cell r="D160" t="str">
            <v>LOCKNUT BRG    N-14</v>
          </cell>
          <cell r="E160" t="str">
            <v>LOCKNUT, BRG. N-14 (FOR BALL BRG. SIZE 14) STEEL.</v>
          </cell>
          <cell r="F160" t="str">
            <v>AWS MG Production Drawings</v>
          </cell>
          <cell r="G160" t="str">
            <v>0.0 (Design)</v>
          </cell>
          <cell r="H160" t="str">
            <v>Released-Published</v>
          </cell>
          <cell r="I160" t="str">
            <v>2022-01-22 15:57 EST</v>
          </cell>
          <cell r="J160" t="str">
            <v>2022-01-22 15:57 EST</v>
          </cell>
          <cell r="K160" t="str">
            <v>NA-Not Applicable</v>
          </cell>
          <cell r="L160" t="str">
            <v>No</v>
          </cell>
          <cell r="M160" t="str">
            <v>ECR's: (23024)121111;</v>
          </cell>
        </row>
        <row r="161">
          <cell r="C161" t="str">
            <v>J92381</v>
          </cell>
          <cell r="D161" t="str">
            <v>LOCKNUT BRG    N-12</v>
          </cell>
          <cell r="E161" t="str">
            <v>LOCKNUT BRG. N-12 FOR BALL AND ROLLER BEARINGS;2.360"O.D. OF THREADS-18USF THREADS PER INCH;BEARING SIZE 12,STEEL.</v>
          </cell>
          <cell r="F161" t="str">
            <v>AWS MG Production Drawings</v>
          </cell>
          <cell r="G161" t="str">
            <v>0.0 (Design)</v>
          </cell>
          <cell r="H161" t="str">
            <v>Released-Published</v>
          </cell>
          <cell r="I161" t="str">
            <v>2022-01-22 15:57 EST</v>
          </cell>
          <cell r="J161" t="str">
            <v>2022-01-22 15:57 EST</v>
          </cell>
          <cell r="K161" t="str">
            <v>NA-Not Applicable</v>
          </cell>
          <cell r="L161" t="str">
            <v>No</v>
          </cell>
          <cell r="M161" t="str">
            <v>ECR's: (23024)121111;</v>
          </cell>
        </row>
        <row r="162">
          <cell r="C162" t="str">
            <v>J92382</v>
          </cell>
          <cell r="D162" t="str">
            <v>LOCKWASHER BRG W-12</v>
          </cell>
          <cell r="E162" t="str">
            <v>LOCKWASHER, BRG. W-12 FOR BALL &amp; ROLLER BEARINGS; 1/8" X 5/16" KEYWAY REQ'D .063" TK. EXTERNAL TOOTH;BEARING SIZE 12, STEEL;</v>
          </cell>
          <cell r="F162" t="str">
            <v>AWS MG Production Drawings</v>
          </cell>
          <cell r="G162" t="str">
            <v>0.0 (Design)</v>
          </cell>
          <cell r="H162" t="str">
            <v>Released-Published</v>
          </cell>
          <cell r="I162" t="str">
            <v>2022-01-22 15:57 EST</v>
          </cell>
          <cell r="J162" t="str">
            <v>2022-01-22 15:57 EST</v>
          </cell>
          <cell r="K162" t="str">
            <v>NA-Not Applicable</v>
          </cell>
          <cell r="L162" t="str">
            <v>No</v>
          </cell>
          <cell r="M162" t="str">
            <v>ECR's: (23024)121111;</v>
          </cell>
        </row>
        <row r="163">
          <cell r="C163" t="str">
            <v>J92383</v>
          </cell>
          <cell r="D163" t="str">
            <v>RETAINER BRG</v>
          </cell>
          <cell r="E163" t="str">
            <v>RING, BEARING RETAINER CARBON SPRING STEEL, DRY;COLORLESS CORROSION INHIBITED FINISH,SELF-LOCKING;EXTERNAL SERIES.(FOR 2.375" SHAFT DIA.);</v>
          </cell>
          <cell r="F163" t="str">
            <v>AWS MG Production Drawings</v>
          </cell>
          <cell r="G163" t="str">
            <v>0.0 (Design)</v>
          </cell>
          <cell r="H163" t="str">
            <v>Released-Published</v>
          </cell>
          <cell r="I163" t="str">
            <v>2022-01-22 16:01 EST</v>
          </cell>
          <cell r="J163" t="str">
            <v>2022-01-22 16:01 EST</v>
          </cell>
          <cell r="K163" t="str">
            <v>NA-Not Applicable</v>
          </cell>
          <cell r="L163" t="str">
            <v>Yes</v>
          </cell>
          <cell r="M163" t="str">
            <v>ECR's: (17139)060497(23024)121111; ESV: 1) WALDES --- SIZE NO. TRUARC 5100-237;     2) ROTOCLIP -- NO.SH-237STPA;</v>
          </cell>
        </row>
        <row r="164">
          <cell r="C164" t="str">
            <v>J92388</v>
          </cell>
          <cell r="D164" t="str">
            <v>LOCKNUT,BRG    N-13</v>
          </cell>
          <cell r="E164" t="str">
            <v>LOCKNUT, BEARING; N-13 FOR BALL &amp; ROLLER;BEARINGS 2.548" O.D. OF THREADS-18 USF THREADS;PER INCH, BEARING SIZE 13, STEEL.</v>
          </cell>
          <cell r="F164" t="str">
            <v>AWS MG Production Drawings</v>
          </cell>
          <cell r="G164" t="str">
            <v>0.0 (Design)</v>
          </cell>
          <cell r="H164" t="str">
            <v>Released-Published</v>
          </cell>
          <cell r="I164" t="str">
            <v>2022-01-22 15:57 EST</v>
          </cell>
          <cell r="J164" t="str">
            <v>2022-01-22 15:57 EST</v>
          </cell>
          <cell r="K164" t="str">
            <v>NA-Not Applicable</v>
          </cell>
          <cell r="L164" t="str">
            <v>No</v>
          </cell>
          <cell r="M164" t="str">
            <v>ECR's: (23024)121111;</v>
          </cell>
        </row>
        <row r="165">
          <cell r="C165" t="str">
            <v>J92389</v>
          </cell>
          <cell r="D165" t="str">
            <v>LOCKWASHER,BRG W-13</v>
          </cell>
          <cell r="E165" t="str">
            <v>LOCKWASHER, BEARING; W-13 FOR BALL &amp; ROLLER;BEARINGS, 5/16" X 1/8" KEYWAY REQ'D. .062" THK., EXTERNAL TOOTH, BEARING SIZE 13, STEEL.</v>
          </cell>
          <cell r="F165" t="str">
            <v>AWS MG Production Drawings</v>
          </cell>
          <cell r="G165" t="str">
            <v>0.0 (Design)</v>
          </cell>
          <cell r="H165" t="str">
            <v>Released-Published</v>
          </cell>
          <cell r="I165" t="str">
            <v>2022-01-22 15:57 EST</v>
          </cell>
          <cell r="J165" t="str">
            <v>2022-01-22 15:57 EST</v>
          </cell>
          <cell r="K165" t="str">
            <v>NA-Not Applicable</v>
          </cell>
          <cell r="L165" t="str">
            <v>No</v>
          </cell>
          <cell r="M165" t="str">
            <v>ECR's: (23024)121111;</v>
          </cell>
        </row>
        <row r="166">
          <cell r="C166" t="str">
            <v>J92558</v>
          </cell>
          <cell r="D166" t="str">
            <v>WASHER         2.200ID</v>
          </cell>
          <cell r="E166" t="str">
            <v>WASHER; WAVE SPRING; 2.816" O.D. X 2.200" I.D. X .030" THK.-SPRING STEEL;</v>
          </cell>
          <cell r="F166" t="str">
            <v>AWS MG Production Drawings</v>
          </cell>
          <cell r="G166" t="str">
            <v>0.0 (Design)</v>
          </cell>
          <cell r="H166" t="str">
            <v>Released-Published</v>
          </cell>
          <cell r="I166" t="str">
            <v>2022-01-22 16:11 EST</v>
          </cell>
          <cell r="J166" t="str">
            <v>2022-01-22 16:11 EST</v>
          </cell>
          <cell r="K166" t="str">
            <v>NA-Not Applicable</v>
          </cell>
          <cell r="L166" t="str">
            <v>Yes</v>
          </cell>
          <cell r="M166" t="str">
            <v>ECR's: (23024)121111; ESV: 1) ASSOCIATED SPRING CORP;--- CAT NO. W 2816-030;</v>
          </cell>
        </row>
        <row r="167">
          <cell r="C167" t="str">
            <v>J92560</v>
          </cell>
          <cell r="D167" t="str">
            <v>WASHER         3.047ID</v>
          </cell>
          <cell r="E167" t="str">
            <v>WASHER, WAVE SPRING; 3.917" O.D. X 3.047" I.D. X;.042" THK. SPRING STEEL.</v>
          </cell>
          <cell r="F167" t="str">
            <v>AWS MG Production Drawings</v>
          </cell>
          <cell r="G167" t="str">
            <v>0.0 (Design)</v>
          </cell>
          <cell r="H167" t="str">
            <v>Released-Published</v>
          </cell>
          <cell r="I167" t="str">
            <v>2022-01-22 16:11 EST</v>
          </cell>
          <cell r="J167" t="str">
            <v>2022-01-22 16:11 EST</v>
          </cell>
          <cell r="K167" t="str">
            <v>NA-Not Applicable</v>
          </cell>
          <cell r="L167" t="str">
            <v>Yes</v>
          </cell>
          <cell r="M167" t="str">
            <v>ECR's: (23024)121111; ESV: 1) ASSOCIATED SPRING CO. --- CAT NO. W 3917-042;</v>
          </cell>
        </row>
        <row r="168">
          <cell r="C168" t="str">
            <v>J93170</v>
          </cell>
          <cell r="D168" t="str">
            <v>KEY,IMPELLER   1/4X3/8X2"LG</v>
          </cell>
          <cell r="E168" t="str">
            <v>KEY,IMPELLER: CARBON STEEL BAR STOCK, COLD DRAWN. ASTM A108 GR. C1018. 1/4" X 3/8"W. X 2" LG.</v>
          </cell>
          <cell r="F168" t="str">
            <v>AWS MG Production Drawings</v>
          </cell>
          <cell r="G168" t="str">
            <v>0.1 (Design)</v>
          </cell>
          <cell r="H168" t="str">
            <v>Released-Published</v>
          </cell>
          <cell r="I168" t="str">
            <v>2022-01-23 01:40 EST</v>
          </cell>
          <cell r="J168" t="str">
            <v>2022-01-22 15:55 EST</v>
          </cell>
          <cell r="K168" t="str">
            <v>NA-Not Applicable</v>
          </cell>
          <cell r="L168" t="str">
            <v>No</v>
          </cell>
          <cell r="M168" t="str">
            <v>ECR's: (23024)121111;</v>
          </cell>
        </row>
        <row r="169">
          <cell r="C169" t="str">
            <v>J93448</v>
          </cell>
          <cell r="D169" t="str">
            <v>KEY,IMP&amp;CPLR   1/2SQX2-1/8LG</v>
          </cell>
          <cell r="E169" t="str">
            <v>KEY,IMPELLER &amp; COUPLER: TYPE 304 STAINLESS STEEL;BAR, ANNEALED COLD FINISHED GROUND, ASTM A276, TP304. 1/2" SQ. X 2-1/8" LG.</v>
          </cell>
          <cell r="F169" t="str">
            <v>AWS MG Production Drawings</v>
          </cell>
          <cell r="G169" t="str">
            <v>0.1 (Design)</v>
          </cell>
          <cell r="H169" t="str">
            <v>Released-Published</v>
          </cell>
          <cell r="I169" t="str">
            <v>2022-01-23 01:40 EST</v>
          </cell>
          <cell r="J169" t="str">
            <v>2022-01-22 15:55 EST</v>
          </cell>
          <cell r="K169" t="str">
            <v>NSF</v>
          </cell>
          <cell r="L169" t="str">
            <v>No</v>
          </cell>
          <cell r="M169" t="str">
            <v>ECR's: (23024)121111(23265)050412;</v>
          </cell>
        </row>
        <row r="170">
          <cell r="C170" t="str">
            <v>J93449</v>
          </cell>
          <cell r="D170" t="str">
            <v>KEY,IMPELLER   1/2SQX3-3/4LG</v>
          </cell>
          <cell r="E170" t="str">
            <v>KEY,IMPELLER: CARBON STEEL BAR STOCK,COLD DRAWN. ASTM A108 GR. C1018.</v>
          </cell>
          <cell r="F170" t="str">
            <v>AWS MG Production Drawings</v>
          </cell>
          <cell r="G170" t="str">
            <v>0.1 (Design)</v>
          </cell>
          <cell r="H170" t="str">
            <v>Released-Published</v>
          </cell>
          <cell r="I170" t="str">
            <v>2022-01-23 01:40 EST</v>
          </cell>
          <cell r="J170" t="str">
            <v>2022-01-22 15:55 EST</v>
          </cell>
          <cell r="K170" t="str">
            <v>NA-Not Applicable</v>
          </cell>
          <cell r="L170" t="str">
            <v>No</v>
          </cell>
          <cell r="M170" t="str">
            <v>ECR's: (23024)121111;</v>
          </cell>
        </row>
        <row r="171">
          <cell r="C171" t="str">
            <v>J93450</v>
          </cell>
          <cell r="D171" t="str">
            <v>KEY,COUPLER    1/2SQX2-7/8LG</v>
          </cell>
          <cell r="E171" t="str">
            <v>KEY,COUPLER: CARBON STEEL BAR STOCK,COLD DRAWN. ASTM A108 GR. C1018. 1/2" SQ. X 2-7/8" LG.</v>
          </cell>
          <cell r="F171" t="str">
            <v>AWS MG Production Drawings</v>
          </cell>
          <cell r="G171" t="str">
            <v>0.1 (Design)</v>
          </cell>
          <cell r="H171" t="str">
            <v>Released-Published</v>
          </cell>
          <cell r="I171" t="str">
            <v>2022-01-23 01:40 EST</v>
          </cell>
          <cell r="J171" t="str">
            <v>2022-01-22 15:55 EST</v>
          </cell>
          <cell r="K171" t="str">
            <v>NA-Not Applicable</v>
          </cell>
          <cell r="L171" t="str">
            <v>No</v>
          </cell>
          <cell r="M171" t="str">
            <v>ECR's: (23024)121111;</v>
          </cell>
        </row>
        <row r="172">
          <cell r="C172" t="str">
            <v>J93595</v>
          </cell>
          <cell r="D172" t="str">
            <v>KEY,IMPELLER   3/8X1/2X3-3/4LG</v>
          </cell>
          <cell r="E172" t="str">
            <v>KEY,IMPELLER CARBON STEEL BAR STOCK,COLD DRAWN. ASTM A108 GR. C1018. 3/8" X 1/2" W. X 3-3/4" LG.</v>
          </cell>
          <cell r="F172" t="str">
            <v>AWS MG Production Drawings</v>
          </cell>
          <cell r="G172" t="str">
            <v>0.1 (Design)</v>
          </cell>
          <cell r="H172" t="str">
            <v>Released-Published</v>
          </cell>
          <cell r="I172" t="str">
            <v>2022-01-23 01:40 EST</v>
          </cell>
          <cell r="J172" t="str">
            <v>2022-01-22 15:55 EST</v>
          </cell>
          <cell r="K172" t="str">
            <v>NA-Not Applicable</v>
          </cell>
          <cell r="L172" t="str">
            <v>No</v>
          </cell>
          <cell r="M172" t="str">
            <v>ECR's: (23024)121111;</v>
          </cell>
        </row>
        <row r="173">
          <cell r="C173" t="str">
            <v>J94171</v>
          </cell>
          <cell r="D173" t="str">
            <v>O-RING SIZE 035</v>
          </cell>
          <cell r="E173" t="str">
            <v>SIZE 035;2.239"I.D.X2.379"O.D.X.070"DIA. CROSS SECTION. TEFLON (TFE). NOTE: INDIVIDUAL CONTAINER SUCH AS CARTON, ROLL OR BAG SUPPLIED BY;      VENDOR REQUIRES A LABEL OR TAG INDICATING MANUFACTURER,       MANUFACTURER'S P/N, DATE OF MANUFACTURE AND "B&amp;G" P/N!;</v>
          </cell>
          <cell r="F173" t="str">
            <v>AWS MG Valves General Data</v>
          </cell>
          <cell r="G173" t="str">
            <v>0.0 (Design)</v>
          </cell>
          <cell r="H173" t="str">
            <v>Released-Published</v>
          </cell>
          <cell r="I173" t="str">
            <v>2022-01-22 15:59 EST</v>
          </cell>
          <cell r="J173" t="str">
            <v>2022-01-22 15:59 EST</v>
          </cell>
          <cell r="K173" t="str">
            <v>NA-Not Applicable</v>
          </cell>
          <cell r="L173" t="str">
            <v>No</v>
          </cell>
          <cell r="M173" t="str">
            <v>ECR's: (17825)082598(23024)121111;</v>
          </cell>
        </row>
        <row r="174">
          <cell r="C174" t="str">
            <v>J96612</v>
          </cell>
          <cell r="D174" t="str">
            <v>CARTON         MISC</v>
          </cell>
          <cell r="E174" t="str">
            <v>CARTON, CORRUGATED, 12-5/8" X 5" X 10-7/8", STYLE;F.F.S.C. TEST 275#, FLUTE 'C' ONLY, INSIDE;STITCHED JOINT, PRINTING CODE 3 PIC BLACK 90.</v>
          </cell>
          <cell r="F174" t="str">
            <v>AWS MG Production Drawings</v>
          </cell>
          <cell r="G174" t="str">
            <v>0.1 (Design)</v>
          </cell>
          <cell r="H174" t="str">
            <v>Released-Published</v>
          </cell>
          <cell r="I174" t="str">
            <v>2022-01-23 01:40 EST</v>
          </cell>
          <cell r="J174" t="str">
            <v>2022-01-22 15:42 EST</v>
          </cell>
          <cell r="K174" t="str">
            <v>NA-Not Applicable</v>
          </cell>
          <cell r="L174" t="str">
            <v>No</v>
          </cell>
          <cell r="M174" t="str">
            <v>ECR's: 123010(23024)121111(23273)092712(23980)072314(24570)090415;</v>
          </cell>
        </row>
        <row r="175">
          <cell r="C175" t="str">
            <v>J96736</v>
          </cell>
          <cell r="D175" t="str">
            <v>CARTON</v>
          </cell>
          <cell r="E175" t="str">
            <v>FOL STYLE, ECT 55C "C" FLUTE. CARTON SIZE ID: 10-7/8 X 10 X 13-3/8;CORRUGATED KRAFT, GLUED JOINT, NO PRINTING;</v>
          </cell>
          <cell r="F175" t="str">
            <v>AWS MG Valves General Data</v>
          </cell>
          <cell r="G175" t="str">
            <v>0.1 (Design)</v>
          </cell>
          <cell r="H175" t="str">
            <v>Released-Published</v>
          </cell>
          <cell r="I175" t="str">
            <v>2022-01-23 01:41 EST</v>
          </cell>
          <cell r="J175" t="str">
            <v>2022-01-22 15:42 EST</v>
          </cell>
          <cell r="K175" t="str">
            <v>NA-Not Applicable</v>
          </cell>
          <cell r="L175" t="str">
            <v>No</v>
          </cell>
          <cell r="M175" t="str">
            <v>ECR's: (18149)052599, 123010(23024)121111(24051)051514(23980)072314;(26319)042420;</v>
          </cell>
        </row>
        <row r="176">
          <cell r="C176" t="str">
            <v>K03600</v>
          </cell>
          <cell r="D176" t="str">
            <v>CAPSCREW HEX HD 1/2-13UNC X 1"</v>
          </cell>
          <cell r="E176" t="str">
            <v>CAPSCREW; HEX. HD. 1/2" DIA - 13 UNC-2A X 1" LG. LOW CARBON STEEL, SAE GRADE 2. ZINC PLATED;DIMENSIONS TO CONFORM TO ANSI STD. B18.2.1;</v>
          </cell>
          <cell r="F176" t="str">
            <v>AWS MG Production Drawings</v>
          </cell>
          <cell r="G176" t="str">
            <v>0.0 (Design)</v>
          </cell>
          <cell r="H176" t="str">
            <v>Released-Published</v>
          </cell>
          <cell r="I176" t="str">
            <v>2022-01-22 15:42 EST</v>
          </cell>
          <cell r="J176" t="str">
            <v>2022-01-22 15:42 EST</v>
          </cell>
          <cell r="K176" t="str">
            <v>NA-Not Applicable</v>
          </cell>
          <cell r="L176" t="str">
            <v>No</v>
          </cell>
          <cell r="M176" t="str">
            <v>ECR's: (14571)031290(23024)121111;</v>
          </cell>
        </row>
        <row r="177">
          <cell r="C177" t="str">
            <v>M06720</v>
          </cell>
          <cell r="D177" t="str">
            <v>CAPSCREW HEX HD 7/8-9UNX3-3/4</v>
          </cell>
          <cell r="E177" t="str">
            <v>SEE DRAWING;</v>
          </cell>
          <cell r="F177" t="str">
            <v>AWS MG Circulator Pumps</v>
          </cell>
          <cell r="G177" t="str">
            <v>0.1 (Design)</v>
          </cell>
          <cell r="H177" t="str">
            <v>Released-Published</v>
          </cell>
          <cell r="I177" t="str">
            <v>2022-01-23 01:41 EST</v>
          </cell>
          <cell r="J177" t="str">
            <v>2022-01-22 15:42 EST</v>
          </cell>
          <cell r="K177" t="str">
            <v>NA-Not Applicable</v>
          </cell>
          <cell r="L177" t="str">
            <v>No</v>
          </cell>
          <cell r="M177" t="str">
            <v>ECR's: (17498)112197(23024)121111(26589)030521;</v>
          </cell>
        </row>
        <row r="178">
          <cell r="C178" t="str">
            <v>M21750</v>
          </cell>
          <cell r="D178" t="str">
            <v>WASHER RESILIENT</v>
          </cell>
          <cell r="E178" t="str">
            <v>BUNA "N" COMPOUND 85 TO 95 DUROMETER "A" SCALE, TENSILE STRENGTH 1900 P.S.I., ELONGATION 150% ASTM D-735 GR. SB915B. NOTE: INDIVIDUAL CONTAINER SUCH AS CARTON, ROLL OR BAG SUPPLIED-      BY VENDOR REQUIRES A LABEL OR TAG INDICATING MANUFACTURER,       MANUFACTURER'S P/N, DATE OF MANUFACTURE, COMPOUND NO., AND-      "B&amp;G" P/N.</v>
          </cell>
          <cell r="F178" t="str">
            <v>AWS MG Circulator Pumps</v>
          </cell>
          <cell r="G178" t="str">
            <v>0.1 (Design)</v>
          </cell>
          <cell r="H178" t="str">
            <v>Released-Published</v>
          </cell>
          <cell r="I178" t="str">
            <v>2022-01-23 01:41 EST</v>
          </cell>
          <cell r="J178" t="str">
            <v>2022-01-22 16:11 EST</v>
          </cell>
          <cell r="K178" t="str">
            <v>NA-Not Applicable</v>
          </cell>
          <cell r="L178" t="str">
            <v>Yes</v>
          </cell>
          <cell r="M178" t="str">
            <v>ECR's: (15065)092391(20865)030606(21016)051506(23024)121111; ESV: 1)WILLIAMS-BOWMAN --- WILBOW #2187;     2)WESTERN RUBBER--- COMP.#4962;</v>
          </cell>
        </row>
        <row r="179">
          <cell r="C179" t="str">
            <v>M25320</v>
          </cell>
          <cell r="D179" t="str">
            <v>WASHER RESILIENT</v>
          </cell>
          <cell r="E179" t="str">
            <v>BUNA "N" COMPOUND 85 TO 95 DUROMETER "A" SCALE, TENSILE STRENGTH 1900 P.S.I., ELONGATION 150% ASTM D-735 GR. SB915B. NOTE: INDIVIDUAL CONTAINER SUCH AS CARTON, ROLL OR BAG SUPPLIED-      BY VENDOR REQUIRES A LABEL OR TAG INDICATING MANUFACTURER,       MANUFACTURER'S P/N, DATE OF MANUFACTURE, COMPOUND NO., AND-      "B&amp;G" P/N.</v>
          </cell>
          <cell r="F179" t="str">
            <v>AWS MG Circulator Pumps</v>
          </cell>
          <cell r="G179" t="str">
            <v>0.2 (Design)</v>
          </cell>
          <cell r="H179" t="str">
            <v>Released-Published</v>
          </cell>
          <cell r="I179" t="str">
            <v>2022-04-19 17:52 EDT</v>
          </cell>
          <cell r="J179" t="str">
            <v>2022-01-22 16:11 EST</v>
          </cell>
          <cell r="K179" t="str">
            <v>NA-Not Applicable</v>
          </cell>
          <cell r="L179" t="str">
            <v>No</v>
          </cell>
          <cell r="M179" t="str">
            <v>ECR's: (15065)092391(20865)030606(21016)051506(23024)121111; ESV:1) WESTERN RUBBER--- COMPOUND 4962;</v>
          </cell>
        </row>
        <row r="180">
          <cell r="C180" t="str">
            <v>P00651</v>
          </cell>
          <cell r="D180" t="str">
            <v>NUT HEX STD    3/8-24UNF-2B</v>
          </cell>
          <cell r="E180" t="str">
            <v>NUT, HEXAGON, 3/8" - 24 UNF-2B AMERICAN STD. LIGHT SEMI-FINISHED, #316 STAINLESS STEEL.</v>
          </cell>
          <cell r="F180" t="str">
            <v>AWS MG Circulator Pumps</v>
          </cell>
          <cell r="G180" t="str">
            <v>0.0 (Design)</v>
          </cell>
          <cell r="H180" t="str">
            <v>Released-Published</v>
          </cell>
          <cell r="I180" t="str">
            <v>2022-01-22 15:59 EST</v>
          </cell>
          <cell r="J180" t="str">
            <v>2022-01-22 15:59 EST</v>
          </cell>
          <cell r="K180" t="str">
            <v>NA-Not Applicable</v>
          </cell>
          <cell r="L180" t="str">
            <v>No</v>
          </cell>
          <cell r="M180" t="str">
            <v>ECR's: (23024)121111;</v>
          </cell>
        </row>
        <row r="181">
          <cell r="C181" t="str">
            <v>P01240</v>
          </cell>
          <cell r="D181" t="str">
            <v>NUT HEX STD    7/16-14UNC-2B</v>
          </cell>
          <cell r="E181" t="str">
            <v>NUT; HEXAGON: 7/16" - 14 UNC - 2B - AMERICAN STD. &amp; UNIFIED - STD. STEEL, ZINC PLATED;</v>
          </cell>
          <cell r="F181" t="str">
            <v>AWS MG Circulator Pumps</v>
          </cell>
          <cell r="G181" t="str">
            <v>0.0 (Design)</v>
          </cell>
          <cell r="H181" t="str">
            <v>Released-Published</v>
          </cell>
          <cell r="I181" t="str">
            <v>2022-01-22 15:59 EST</v>
          </cell>
          <cell r="J181" t="str">
            <v>2022-01-22 15:59 EST</v>
          </cell>
          <cell r="K181" t="str">
            <v>NA-Not Applicable</v>
          </cell>
          <cell r="L181" t="str">
            <v>No</v>
          </cell>
          <cell r="M181" t="str">
            <v>ECR's: (23024)121111;</v>
          </cell>
        </row>
        <row r="182">
          <cell r="C182" t="str">
            <v>P01260</v>
          </cell>
          <cell r="D182" t="str">
            <v>CAPSCREW HEX HD 1/2-13NCX2</v>
          </cell>
          <cell r="E182" t="str">
            <v>CAPSCREW, HEX HD. 1/2" DIA.-13UNC-2A X 2" LG. STEEL;DIMENSIONS TO CONFORM TO ANSI STANDARD B18.2.1;LOW CARBON STEEL, SAE GRADE 2. ZINC PLATED;</v>
          </cell>
          <cell r="F182" t="str">
            <v>AWS MG Circulator Pumps</v>
          </cell>
          <cell r="G182" t="str">
            <v>0.0 (Design)</v>
          </cell>
          <cell r="H182" t="str">
            <v>Released-Published</v>
          </cell>
          <cell r="I182" t="str">
            <v>2022-01-22 15:42 EST</v>
          </cell>
          <cell r="J182" t="str">
            <v>2022-01-22 15:42 EST</v>
          </cell>
          <cell r="K182" t="str">
            <v>NA-Not Applicable</v>
          </cell>
          <cell r="L182" t="str">
            <v>No</v>
          </cell>
          <cell r="M182" t="str">
            <v>ECR's: (14571)031290(23024)121111;</v>
          </cell>
        </row>
        <row r="183">
          <cell r="C183" t="str">
            <v>P01808</v>
          </cell>
          <cell r="D183" t="str">
            <v>SET SCR SKT HD 5/16-18NCX3/8LG</v>
          </cell>
          <cell r="E183" t="str">
            <v>SET SCREW; HEX. SOCKET TYPE: 5/16"-DIA.-18UNC-2AX3/8"LG,HALF DOG POINT. STAINLESS STEEL, 300 SERIES;</v>
          </cell>
          <cell r="F183" t="str">
            <v>AWS MG Circulator Pumps</v>
          </cell>
          <cell r="G183" t="str">
            <v>0.1 (Design)</v>
          </cell>
          <cell r="H183" t="str">
            <v>Released-Published</v>
          </cell>
          <cell r="I183" t="str">
            <v>2022-01-23 01:43 EST</v>
          </cell>
          <cell r="J183" t="str">
            <v>2022-01-22 16:04 EST</v>
          </cell>
          <cell r="K183" t="str">
            <v>NA-Not Applicable</v>
          </cell>
          <cell r="L183" t="str">
            <v>No</v>
          </cell>
          <cell r="M183" t="str">
            <v>ECR's: (23024)121111;</v>
          </cell>
        </row>
        <row r="184">
          <cell r="C184" t="str">
            <v>P01812</v>
          </cell>
          <cell r="D184" t="str">
            <v>SET SCR SKT HD 3/8-16NCX5/8LG</v>
          </cell>
          <cell r="E184" t="str">
            <v>SET SCREW: HEX SOCKET TYPE: 3/8" DIA.-16UNC-2A X 5/8" LG;HALF DOG POINT;STAINLESS STEEL,300 SERIES;</v>
          </cell>
          <cell r="F184" t="str">
            <v>AWS MG Circulator Pumps</v>
          </cell>
          <cell r="G184" t="str">
            <v>0.1 (Design)</v>
          </cell>
          <cell r="H184" t="str">
            <v>Released-Published</v>
          </cell>
          <cell r="I184" t="str">
            <v>2022-01-23 01:43 EST</v>
          </cell>
          <cell r="J184" t="str">
            <v>2022-01-22 16:04 EST</v>
          </cell>
          <cell r="K184" t="str">
            <v>NA-Not Applicable</v>
          </cell>
          <cell r="L184" t="str">
            <v>No</v>
          </cell>
          <cell r="M184" t="str">
            <v>ECR's: (23024)121111;</v>
          </cell>
        </row>
        <row r="185">
          <cell r="C185" t="str">
            <v>P01850</v>
          </cell>
          <cell r="D185" t="str">
            <v>CAPSCREW HEX HD 5/16-18NCX1</v>
          </cell>
          <cell r="E185" t="str">
            <v>CAPSCREW HEX HEAD 5/16" DIA-18UNC-2AX/"LG;COMMERCIAL BRASS.</v>
          </cell>
          <cell r="F185" t="str">
            <v>AWS MG Circulator Pumps</v>
          </cell>
          <cell r="G185" t="str">
            <v>0.0 (Design)</v>
          </cell>
          <cell r="H185" t="str">
            <v>Released-Published</v>
          </cell>
          <cell r="I185" t="str">
            <v>2022-01-22 15:42 EST</v>
          </cell>
          <cell r="J185" t="str">
            <v>2022-01-22 15:42 EST</v>
          </cell>
          <cell r="K185" t="str">
            <v>NA-Not Applicable</v>
          </cell>
          <cell r="L185" t="str">
            <v>No</v>
          </cell>
          <cell r="M185" t="str">
            <v>ECR's: (23024)121111;</v>
          </cell>
        </row>
        <row r="186">
          <cell r="C186" t="str">
            <v>P03470</v>
          </cell>
          <cell r="D186" t="str">
            <v>CAPSCREW HEX HD 7/16-14NC X 1</v>
          </cell>
          <cell r="E186" t="str">
            <v>CAPSCREW, HEX. HD. 7/16" DIA - 14 UNC-2A X 1" LG. DIMENSIONS TO CONFORM TO ANSI STANDARD B18.2.1;LOW CARBON STEEL, SAE GRADE2. NOTE: EACH SHIPPING CONTAINER TO HAVE A MAXIMUM;OF 1000 PIECES. ZINC PLATED;</v>
          </cell>
          <cell r="F186" t="str">
            <v>AWS MG Production Drawings</v>
          </cell>
          <cell r="G186" t="str">
            <v>0.0 (Design)</v>
          </cell>
          <cell r="H186" t="str">
            <v>Released-Published</v>
          </cell>
          <cell r="I186" t="str">
            <v>2022-01-22 15:42 EST</v>
          </cell>
          <cell r="J186" t="str">
            <v>2022-01-22 15:42 EST</v>
          </cell>
          <cell r="K186" t="str">
            <v>NA-Not Applicable</v>
          </cell>
          <cell r="L186" t="str">
            <v>No</v>
          </cell>
          <cell r="M186" t="str">
            <v>ECR's: (14571)031290(23024)121111;</v>
          </cell>
        </row>
        <row r="187">
          <cell r="C187" t="str">
            <v>P04650</v>
          </cell>
          <cell r="D187" t="str">
            <v>LOCKWASHER     3/8 INT. TYPE</v>
          </cell>
          <cell r="E187" t="str">
            <v>LOCKWASHER: INTERNAL, TYPE"A",SHAKEPROOF;#1220-00; 3/8" SCREW SIZE; STEEL;ZINC PLATED;</v>
          </cell>
          <cell r="F187" t="str">
            <v>AWS MG Circulator Pumps</v>
          </cell>
          <cell r="G187" t="str">
            <v>0.0 (Design)</v>
          </cell>
          <cell r="H187" t="str">
            <v>Released-Published</v>
          </cell>
          <cell r="I187" t="str">
            <v>2022-01-22 15:57 EST</v>
          </cell>
          <cell r="J187" t="str">
            <v>2022-01-22 15:57 EST</v>
          </cell>
          <cell r="K187" t="str">
            <v>NA-Not Applicable</v>
          </cell>
          <cell r="L187" t="str">
            <v>No</v>
          </cell>
          <cell r="M187" t="str">
            <v>ECR's: (14571)031290(23024)121111;</v>
          </cell>
        </row>
        <row r="188">
          <cell r="C188" t="str">
            <v>P04660</v>
          </cell>
          <cell r="D188" t="str">
            <v>LOCKWASHER     3/8 SCREW SIZE</v>
          </cell>
          <cell r="E188" t="str">
            <v>LOCKWASHER; INTERNAL TOOTH TYPE; .035" TK.; 3/8" SCREW SIZE; #410 STAINLESSS STEEL;SHAKEPROOF #1720-00;</v>
          </cell>
          <cell r="F188" t="str">
            <v>AWS MG Production Drawings</v>
          </cell>
          <cell r="G188" t="str">
            <v>0.0 (Design)</v>
          </cell>
          <cell r="H188" t="str">
            <v>Released-Published</v>
          </cell>
          <cell r="I188" t="str">
            <v>2022-01-22 15:57 EST</v>
          </cell>
          <cell r="J188" t="str">
            <v>2022-01-22 15:57 EST</v>
          </cell>
          <cell r="K188" t="str">
            <v>NSF</v>
          </cell>
          <cell r="L188" t="str">
            <v>No</v>
          </cell>
          <cell r="M188" t="str">
            <v>ECR's: (18368)102599(23024)121111(24159)052915;</v>
          </cell>
        </row>
        <row r="189">
          <cell r="C189" t="str">
            <v>P04920</v>
          </cell>
          <cell r="D189" t="str">
            <v>SCR#8-32NCX1/4,PHILLIPS RND ST</v>
          </cell>
          <cell r="E189" t="str">
            <v>#8 - 32 UNC - 2A X 1/4" , PHILLIPS ROUND HEAD; DRIVER SIZE #2; MACHINE SCREW, STEEL, ZINC PLATED;</v>
          </cell>
          <cell r="F189" t="str">
            <v>AWS MG Circulator Pumps</v>
          </cell>
          <cell r="G189" t="str">
            <v>0.0 (Design)</v>
          </cell>
          <cell r="H189" t="str">
            <v>Released-Published</v>
          </cell>
          <cell r="I189" t="str">
            <v>2022-01-22 16:03 EST</v>
          </cell>
          <cell r="J189" t="str">
            <v>2022-01-22 16:03 EST</v>
          </cell>
          <cell r="K189" t="str">
            <v>NA-Not Applicable</v>
          </cell>
          <cell r="L189" t="str">
            <v>No</v>
          </cell>
          <cell r="M189" t="str">
            <v>ECR's: (23024)121111(23394)101712;</v>
          </cell>
        </row>
        <row r="190">
          <cell r="C190" t="str">
            <v>P04940</v>
          </cell>
          <cell r="D190" t="str">
            <v>KEY SHAFT      STD#2WOODRUFF</v>
          </cell>
          <cell r="E190" t="str">
            <v>KEY,SHAFT STANDARD #2 WOODRUFF, 3/32" X 1/2";CARBON STEEL;</v>
          </cell>
          <cell r="F190" t="str">
            <v>AWS MG Circulator Pumps</v>
          </cell>
          <cell r="G190" t="str">
            <v>0.0 (Design)</v>
          </cell>
          <cell r="H190" t="str">
            <v>Released-Published</v>
          </cell>
          <cell r="I190" t="str">
            <v>2022-01-22 15:55 EST</v>
          </cell>
          <cell r="J190" t="str">
            <v>2022-01-22 15:55 EST</v>
          </cell>
          <cell r="K190" t="str">
            <v>NA-Not Applicable</v>
          </cell>
          <cell r="L190" t="str">
            <v>No</v>
          </cell>
          <cell r="M190" t="str">
            <v>ECR's: (23024)121111;</v>
          </cell>
        </row>
        <row r="191">
          <cell r="C191" t="str">
            <v>P06870</v>
          </cell>
          <cell r="D191" t="str">
            <v>NUT HEX LGT    3/8-24UNF-2B</v>
          </cell>
          <cell r="E191" t="str">
            <v>NUT,HEXAGON 3/8" - 24UNF-2B AMERICAN STANDARD;LIGHT SEMI-FINISHED,HEX.-BRASS.</v>
          </cell>
          <cell r="F191" t="str">
            <v>AWS MG Circulator Pumps</v>
          </cell>
          <cell r="G191" t="str">
            <v>0.0 (Design)</v>
          </cell>
          <cell r="H191" t="str">
            <v>Released-Published</v>
          </cell>
          <cell r="I191" t="str">
            <v>2022-01-22 15:59 EST</v>
          </cell>
          <cell r="J191" t="str">
            <v>2022-01-22 15:59 EST</v>
          </cell>
          <cell r="K191" t="str">
            <v>NA-Not Applicable</v>
          </cell>
          <cell r="L191" t="str">
            <v>No</v>
          </cell>
          <cell r="M191" t="str">
            <v>ECR's: (23024)121111;</v>
          </cell>
        </row>
        <row r="192">
          <cell r="C192" t="str">
            <v>P09540</v>
          </cell>
          <cell r="D192" t="str">
            <v>FSTNR PKG ASM</v>
          </cell>
          <cell r="F192" t="str">
            <v>AWS MG Circulator Pumps</v>
          </cell>
          <cell r="G192" t="str">
            <v>0.5 (Design)</v>
          </cell>
          <cell r="H192" t="str">
            <v>Released-Published</v>
          </cell>
          <cell r="I192" t="str">
            <v>2022-01-22 17:38 EST</v>
          </cell>
          <cell r="J192" t="str">
            <v>2022-01-22 15:48 EST</v>
          </cell>
          <cell r="K192" t="str">
            <v>NA-Not Applicable</v>
          </cell>
          <cell r="L192" t="str">
            <v>No</v>
          </cell>
          <cell r="M192" t="str">
            <v>ECR's: (P0005)070291(23024)121111;</v>
          </cell>
        </row>
        <row r="193">
          <cell r="C193" t="str">
            <v>P10359</v>
          </cell>
          <cell r="D193" t="str">
            <v>CAPSCREW HEX HD 5/16-18NCX5/8</v>
          </cell>
          <cell r="E193" t="str">
            <v>CAPSCREW; HEX HD. 5/16" DIA 18 UNC - 2A X 5/8" LG. DIMENSIONS TO CONFORM TO ANSI STANDARD B18.2.1;LOW CARBON STEEL, SAE GRADE 2.</v>
          </cell>
          <cell r="F193" t="str">
            <v>AWS MG Circulator Pumps</v>
          </cell>
          <cell r="G193" t="str">
            <v>0.0 (Design)</v>
          </cell>
          <cell r="H193" t="str">
            <v>Released-Published</v>
          </cell>
          <cell r="I193" t="str">
            <v>2022-01-22 15:42 EST</v>
          </cell>
          <cell r="J193" t="str">
            <v>2022-01-22 15:42 EST</v>
          </cell>
          <cell r="K193" t="str">
            <v>NA-Not Applicable</v>
          </cell>
          <cell r="L193" t="str">
            <v>No</v>
          </cell>
          <cell r="M193" t="str">
            <v>ECR's: (23024)121111;</v>
          </cell>
        </row>
        <row r="194">
          <cell r="C194" t="str">
            <v>P10620</v>
          </cell>
          <cell r="D194" t="str">
            <v>CAPSCREW HEX HD5/16-18NCX7/8LG</v>
          </cell>
          <cell r="E194" t="str">
            <v>CAPSCREW HEX. HD. 5/16" DIA. - 18UNC-2A X 7/8";DIMENSIONS TO CONFORM TO ANSI STANDARD B18.2.1;LOW CARBON STEEL SAE,GRADE 2.</v>
          </cell>
          <cell r="F194" t="str">
            <v>AWS MG Circulator Pumps</v>
          </cell>
          <cell r="G194" t="str">
            <v>0.0 (Design)</v>
          </cell>
          <cell r="H194" t="str">
            <v>Released-Published</v>
          </cell>
          <cell r="I194" t="str">
            <v>2022-01-22 15:42 EST</v>
          </cell>
          <cell r="J194" t="str">
            <v>2022-01-22 15:42 EST</v>
          </cell>
          <cell r="K194" t="str">
            <v>NA-Not Applicable</v>
          </cell>
          <cell r="L194" t="str">
            <v>No</v>
          </cell>
          <cell r="M194" t="str">
            <v>ECR's: (23024)121111;</v>
          </cell>
        </row>
        <row r="195">
          <cell r="C195" t="str">
            <v>P10720</v>
          </cell>
          <cell r="D195" t="str">
            <v>SET SCR SKT HD 5/16-18NC X 1/2</v>
          </cell>
          <cell r="E195" t="str">
            <v>SET SCREW, HEX. SOCKET, CUP POINT; 5/16" DIA.-18UNC-2A X 1/2" LG., HOLLOW HEAD BLACK ALLOY STEEL;</v>
          </cell>
          <cell r="F195" t="str">
            <v>AWS MG Circulator Pumps</v>
          </cell>
          <cell r="G195" t="str">
            <v>0.0 (Design)</v>
          </cell>
          <cell r="H195" t="str">
            <v>Released-Published</v>
          </cell>
          <cell r="I195" t="str">
            <v>2022-01-22 16:04 EST</v>
          </cell>
          <cell r="J195" t="str">
            <v>2022-01-22 16:04 EST</v>
          </cell>
          <cell r="K195" t="str">
            <v>NA-Not Applicable</v>
          </cell>
          <cell r="L195" t="str">
            <v>No</v>
          </cell>
          <cell r="M195" t="str">
            <v>ECR's: (23024)121111;</v>
          </cell>
        </row>
        <row r="196">
          <cell r="C196" t="str">
            <v>P10910</v>
          </cell>
          <cell r="D196" t="str">
            <v>WASHER FLAT    3/8 BOLT SIZE</v>
          </cell>
          <cell r="E196" t="str">
            <v>WASHER; STD. FLAT; 3/8" BOLT SIZE, 5/64" THK X 1";O.D. X 7/16" I.D. - STEEL;ZINC PLATED;</v>
          </cell>
          <cell r="F196" t="str">
            <v>AWS Hoffman Product Family</v>
          </cell>
          <cell r="G196" t="str">
            <v>0.0 (Design)</v>
          </cell>
          <cell r="H196" t="str">
            <v>Released-Published</v>
          </cell>
          <cell r="I196" t="str">
            <v>2022-01-22 16:11 EST</v>
          </cell>
          <cell r="J196" t="str">
            <v>2022-01-22 16:11 EST</v>
          </cell>
          <cell r="K196" t="str">
            <v>NA-Not Applicable</v>
          </cell>
          <cell r="L196" t="str">
            <v>No</v>
          </cell>
          <cell r="M196" t="str">
            <v>ECR's: (14571)031290(23024)121111;</v>
          </cell>
        </row>
        <row r="197">
          <cell r="C197" t="str">
            <v>P11150</v>
          </cell>
          <cell r="D197" t="str">
            <v>LOCKWASHER     7/16 BOLT SIZE</v>
          </cell>
          <cell r="E197" t="str">
            <v>LOCKWASHER; INTERNAL TOOTH TYPE; 7/16" BOLT SIZE, STEEL; SHAKEPROOF #1222-00.</v>
          </cell>
          <cell r="F197" t="str">
            <v>AWS MG Production Drawings</v>
          </cell>
          <cell r="G197" t="str">
            <v>0.0 (Design)</v>
          </cell>
          <cell r="H197" t="str">
            <v>Released-Published</v>
          </cell>
          <cell r="I197" t="str">
            <v>2022-01-22 15:57 EST</v>
          </cell>
          <cell r="J197" t="str">
            <v>2022-01-22 15:57 EST</v>
          </cell>
          <cell r="K197" t="str">
            <v>NA-Not Applicable</v>
          </cell>
          <cell r="L197" t="str">
            <v>No</v>
          </cell>
          <cell r="M197" t="str">
            <v>ECR's: (23024)121111;</v>
          </cell>
        </row>
        <row r="198">
          <cell r="C198" t="str">
            <v>P11190</v>
          </cell>
          <cell r="D198" t="str">
            <v>WASHER FLAT    1/2 BOLT SIZE</v>
          </cell>
          <cell r="E198" t="str">
            <v>1/2" STD. MIL-CARB HARD (HIGH STRENGTH HEAT TREATED);ROCKWELL 38-45;FLAT WASHER PLAIN (9/16 X 1.37 X .100);</v>
          </cell>
          <cell r="F198" t="str">
            <v>AWS MG Circulator Pumps</v>
          </cell>
          <cell r="G198" t="str">
            <v>0.0 (Design)</v>
          </cell>
          <cell r="H198" t="str">
            <v>Released-Published</v>
          </cell>
          <cell r="I198" t="str">
            <v>2022-01-22 16:11 EST</v>
          </cell>
          <cell r="J198" t="str">
            <v>2022-01-22 16:11 EST</v>
          </cell>
          <cell r="K198" t="str">
            <v>NA-Not Applicable</v>
          </cell>
          <cell r="L198" t="str">
            <v>No</v>
          </cell>
          <cell r="M198" t="str">
            <v>ECR's: (14571)031290(23024)121111(23217)022012;</v>
          </cell>
        </row>
        <row r="199">
          <cell r="C199" t="str">
            <v>P11210</v>
          </cell>
          <cell r="D199" t="str">
            <v>LOCKWASHER     7/16 BOLT SIZE</v>
          </cell>
          <cell r="E199" t="str">
            <v>LOCKWASHER; SPRING LOCK TYPE; 7/16" BOLT SIZE; STEEL;ZINC PLATED;</v>
          </cell>
          <cell r="F199" t="str">
            <v>AWS MG Circulator Pumps</v>
          </cell>
          <cell r="G199" t="str">
            <v>0.0 (Design)</v>
          </cell>
          <cell r="H199" t="str">
            <v>Released-Published</v>
          </cell>
          <cell r="I199" t="str">
            <v>2022-01-22 15:57 EST</v>
          </cell>
          <cell r="J199" t="str">
            <v>2022-01-22 15:57 EST</v>
          </cell>
          <cell r="K199" t="str">
            <v>NSF</v>
          </cell>
          <cell r="L199" t="str">
            <v>No</v>
          </cell>
          <cell r="M199" t="str">
            <v>ECR's: (14571)031290(23024)121111(24158)121514;</v>
          </cell>
        </row>
        <row r="200">
          <cell r="C200" t="str">
            <v>P11220</v>
          </cell>
          <cell r="D200" t="str">
            <v>LOCKWASHER     7/16 BOLT SIZE</v>
          </cell>
          <cell r="E200" t="str">
            <v>LOCKWASHER SPRING LOCK TYPE, 7/16"BOLT SIZE, MEDIUM SERIES, STAINLESS STEEL TYPE #316.</v>
          </cell>
          <cell r="F200" t="str">
            <v>AWS MG Circulator Pumps</v>
          </cell>
          <cell r="G200" t="str">
            <v>0.0 (Design)</v>
          </cell>
          <cell r="H200" t="str">
            <v>Released-Published</v>
          </cell>
          <cell r="I200" t="str">
            <v>2022-01-22 15:57 EST</v>
          </cell>
          <cell r="J200" t="str">
            <v>2022-01-22 15:57 EST</v>
          </cell>
          <cell r="K200" t="str">
            <v>NA-Not Applicable</v>
          </cell>
          <cell r="L200" t="str">
            <v>No</v>
          </cell>
          <cell r="M200" t="str">
            <v>ECR's: (23024)121111;</v>
          </cell>
        </row>
        <row r="201">
          <cell r="C201" t="str">
            <v>P13780</v>
          </cell>
          <cell r="D201" t="str">
            <v>CAPSCREW HEX HD 1/2-13NCX1-1/4</v>
          </cell>
          <cell r="E201" t="str">
            <v>CAPSCREW, HEX HD. 1/2"DIA.-13UNC-2A X 1-1/4" LG. DIMENSIONS TO CONFORM TO ANSI STANDARD B18.2.1;"LOW CARBON STEEL, SAE GRADE 2";ZINC PLATED;</v>
          </cell>
          <cell r="F201" t="str">
            <v>AWS MG Circulator Pumps</v>
          </cell>
          <cell r="G201" t="str">
            <v>0.0 (Design)</v>
          </cell>
          <cell r="H201" t="str">
            <v>Released-Published</v>
          </cell>
          <cell r="I201" t="str">
            <v>2022-01-22 15:42 EST</v>
          </cell>
          <cell r="J201" t="str">
            <v>2022-01-22 15:42 EST</v>
          </cell>
          <cell r="K201" t="str">
            <v>NA-Not Applicable</v>
          </cell>
          <cell r="L201" t="str">
            <v>No</v>
          </cell>
          <cell r="M201" t="str">
            <v>ECR's: (14571)031290(23024)121111;</v>
          </cell>
        </row>
        <row r="202">
          <cell r="C202" t="str">
            <v>P13800</v>
          </cell>
          <cell r="D202" t="str">
            <v>CAPSCREW HEX HD1/2-13UNCX1-1/2</v>
          </cell>
          <cell r="E202" t="str">
            <v>CAPSCREW; HEX HD. 1/2" DIA 13 UNC-2A X 1-1/2" LG. TYPE 304 OR 305 STAINLESS STEEL;</v>
          </cell>
          <cell r="F202" t="str">
            <v>AWS MG Production Drawings</v>
          </cell>
          <cell r="G202" t="str">
            <v>0.0 (Design)</v>
          </cell>
          <cell r="H202" t="str">
            <v>Released-Published</v>
          </cell>
          <cell r="I202" t="str">
            <v>2022-01-22 15:42 EST</v>
          </cell>
          <cell r="J202" t="str">
            <v>2022-01-22 15:42 EST</v>
          </cell>
          <cell r="K202" t="str">
            <v>NA-Not Applicable</v>
          </cell>
          <cell r="L202" t="str">
            <v>No</v>
          </cell>
          <cell r="M202" t="str">
            <v>ECR's: (11174)070980(23024)121111;</v>
          </cell>
        </row>
        <row r="203">
          <cell r="C203" t="str">
            <v>P13810</v>
          </cell>
          <cell r="D203" t="str">
            <v>CAPSCREW HEX HD 5/8-11NCX2-1/4</v>
          </cell>
          <cell r="E203" t="str">
            <v>CAPSCREW; HEX HD. 5/8" DIA - 11 UNC-2A X 2-1/4" LG;DIMENSIONS TO CONFORM TO ANSI STANDARD B18.2.1;LOW CARBON STEEL, SAE GRADE 2.</v>
          </cell>
          <cell r="F203" t="str">
            <v>AWS MG Production Drawings</v>
          </cell>
          <cell r="G203" t="str">
            <v>0.0 (Design)</v>
          </cell>
          <cell r="H203" t="str">
            <v>Released-Published</v>
          </cell>
          <cell r="I203" t="str">
            <v>2022-01-22 15:42 EST</v>
          </cell>
          <cell r="J203" t="str">
            <v>2022-01-22 15:42 EST</v>
          </cell>
          <cell r="K203" t="str">
            <v>NA-Not Applicable</v>
          </cell>
          <cell r="L203" t="str">
            <v>No</v>
          </cell>
          <cell r="M203" t="str">
            <v>ECR's: (23024)121111;</v>
          </cell>
        </row>
        <row r="204">
          <cell r="C204" t="str">
            <v>P16690</v>
          </cell>
          <cell r="D204" t="str">
            <v>LOCKWASHER 3/8 BOLT SIZE</v>
          </cell>
          <cell r="E204" t="str">
            <v>LOCKWASHER; SPLIT RING SPRING DESIGN; 3/8" BOLT;SIZE; MEDIUM SERIES; BLACK CARBON STEEL;ZINC PLATED;</v>
          </cell>
          <cell r="F204" t="str">
            <v>AWS MG Production Drawings</v>
          </cell>
          <cell r="G204" t="str">
            <v>0.0 (Design)</v>
          </cell>
          <cell r="H204" t="str">
            <v>Released-Published</v>
          </cell>
          <cell r="I204" t="str">
            <v>2022-01-22 15:57 EST</v>
          </cell>
          <cell r="J204" t="str">
            <v>2022-01-22 15:57 EST</v>
          </cell>
          <cell r="K204" t="str">
            <v>NSF</v>
          </cell>
          <cell r="L204" t="str">
            <v>No</v>
          </cell>
          <cell r="M204" t="str">
            <v>ECR's: (23024)121111(24158)121514;</v>
          </cell>
        </row>
        <row r="205">
          <cell r="C205" t="str">
            <v>P19480</v>
          </cell>
          <cell r="D205" t="str">
            <v>CAPSCREW HEX HD5/8-11NCX1-3/4</v>
          </cell>
          <cell r="E205" t="str">
            <v>5/8"DIA.-11UNC-2AX1-3/4"LG. DIMENSIONS TO CONFORM TO ANSI STANDRAD B18.2.1;"LOW CARBON STEEL, SAE GRADE 2.";ZINC PLATED;</v>
          </cell>
          <cell r="F205" t="str">
            <v>AWS Domestic Product Family</v>
          </cell>
          <cell r="G205" t="str">
            <v>0.0 (Design)</v>
          </cell>
          <cell r="H205" t="str">
            <v>Released-Published</v>
          </cell>
          <cell r="I205" t="str">
            <v>2022-01-22 15:42 EST</v>
          </cell>
          <cell r="J205" t="str">
            <v>2022-01-22 15:42 EST</v>
          </cell>
          <cell r="K205" t="str">
            <v>NA-Not Applicable</v>
          </cell>
          <cell r="L205" t="str">
            <v>No</v>
          </cell>
          <cell r="M205" t="str">
            <v>ECR's: (15256)110891(23024)121111;</v>
          </cell>
        </row>
        <row r="206">
          <cell r="C206" t="str">
            <v>P19490</v>
          </cell>
          <cell r="D206" t="str">
            <v>CAPSCREW HEX HD5/8-11NCX1-1/2</v>
          </cell>
          <cell r="E206" t="str">
            <v>CAPSCREW; HEX HD. 5/8" DIA - 11 UNC-2A X 1-1/2";LG. STEEL;DIMENSIONS TO CONFORM TO ANSI STANDARD B18.2.1;LOW CARBON STEEL, SAE GRADE 2. ZINC PLATED;</v>
          </cell>
          <cell r="F206" t="str">
            <v>AWS MG Production Drawings</v>
          </cell>
          <cell r="G206" t="str">
            <v>0.0 (Design)</v>
          </cell>
          <cell r="H206" t="str">
            <v>Released-Published</v>
          </cell>
          <cell r="I206" t="str">
            <v>2022-01-22 15:42 EST</v>
          </cell>
          <cell r="J206" t="str">
            <v>2022-01-22 15:42 EST</v>
          </cell>
          <cell r="K206" t="str">
            <v>NA-Not Applicable</v>
          </cell>
          <cell r="L206" t="str">
            <v>No</v>
          </cell>
          <cell r="M206" t="str">
            <v>ECR's: (14571)031290(23024)121111;</v>
          </cell>
        </row>
        <row r="207">
          <cell r="C207" t="str">
            <v>P19510</v>
          </cell>
          <cell r="D207" t="str">
            <v>WASHER FLAT    5/8 BOLT SIZE</v>
          </cell>
          <cell r="E207" t="str">
            <v>5/8" SAE MIL-CARB (HIGH STRENGTH HEAT TREATED);ROCKWELL 38-45;FLAT WASHER PLAIN (.656 X 1.31 X .122);</v>
          </cell>
          <cell r="F207" t="str">
            <v>AWS MG In-Line Pumps</v>
          </cell>
          <cell r="G207" t="str">
            <v>0.0 (Design)</v>
          </cell>
          <cell r="H207" t="str">
            <v>Released-Published</v>
          </cell>
          <cell r="I207" t="str">
            <v>2022-01-22 16:11 EST</v>
          </cell>
          <cell r="J207" t="str">
            <v>2022-01-22 16:11 EST</v>
          </cell>
          <cell r="K207" t="str">
            <v>NA-Not Applicable</v>
          </cell>
          <cell r="L207" t="str">
            <v>No</v>
          </cell>
          <cell r="M207" t="str">
            <v>ECR's: (14571)031290(23024)121111(23217)022012;</v>
          </cell>
        </row>
        <row r="208">
          <cell r="C208" t="str">
            <v>P19810</v>
          </cell>
          <cell r="D208" t="str">
            <v>CAPSCREW HEX HD3/4-10UNCX1-1/2</v>
          </cell>
          <cell r="E208" t="str">
            <v>3/4"DIA.-10UNC-2AX1-1/2"LG. DIMENSIONS TO CONFORM TO ANSI STANDRAD B18.2.1;"LOW CARBON STEEL, SAE GRADE 2.";ZINC PLATED.</v>
          </cell>
          <cell r="F208" t="str">
            <v>AWS MG Production Drawings</v>
          </cell>
          <cell r="G208" t="str">
            <v>0.0 (Design)</v>
          </cell>
          <cell r="H208" t="str">
            <v>Released-Published</v>
          </cell>
          <cell r="I208" t="str">
            <v>2022-01-22 15:42 EST</v>
          </cell>
          <cell r="J208" t="str">
            <v>2022-01-22 15:42 EST</v>
          </cell>
          <cell r="K208" t="str">
            <v>NA-Not Applicable</v>
          </cell>
          <cell r="L208" t="str">
            <v>No</v>
          </cell>
          <cell r="M208" t="str">
            <v>ECR's: (15256)110891(23024)121111;</v>
          </cell>
        </row>
        <row r="209">
          <cell r="C209" t="str">
            <v>P2000220</v>
          </cell>
          <cell r="D209" t="str">
            <v>NUT HEX CAP    7/16-20UNF-2B</v>
          </cell>
          <cell r="E209" t="str">
            <v>NUT, HEXAGON CAP; 7/16" - 20 UNF-2B; 18-8 STAINLESS STEEL;MSC # P/N 91855A332 OR EQUAL.</v>
          </cell>
          <cell r="F209" t="str">
            <v>AWS MG Circulator Pumps</v>
          </cell>
          <cell r="G209" t="str">
            <v>0.0 (Design)</v>
          </cell>
          <cell r="H209" t="str">
            <v>Released-Published</v>
          </cell>
          <cell r="I209" t="str">
            <v>2022-01-22 15:59 EST</v>
          </cell>
          <cell r="J209" t="str">
            <v>2022-01-22 15:59 EST</v>
          </cell>
          <cell r="K209" t="str">
            <v>NA-Not Applicable</v>
          </cell>
          <cell r="L209" t="str">
            <v>No</v>
          </cell>
          <cell r="M209" t="str">
            <v>ECR's: (22439)110609(23024)121111;</v>
          </cell>
        </row>
        <row r="210">
          <cell r="C210" t="str">
            <v>P2000236</v>
          </cell>
          <cell r="D210" t="str">
            <v>NUT HEX CAP    3/8-24UNF-2B</v>
          </cell>
          <cell r="E210" t="str">
            <v>NUT,HEXAGON CAP: ACORN TYPE 3/8"-24UNF-2B;SS 304;</v>
          </cell>
          <cell r="F210" t="str">
            <v>AWS MG Circulator Pumps</v>
          </cell>
          <cell r="G210" t="str">
            <v>0.1 (Design)</v>
          </cell>
          <cell r="H210" t="str">
            <v>Released-Published</v>
          </cell>
          <cell r="I210" t="str">
            <v>2022-01-23 01:44 EST</v>
          </cell>
          <cell r="J210" t="str">
            <v>2022-01-22 15:59 EST</v>
          </cell>
          <cell r="K210" t="str">
            <v>NA-Not Applicable</v>
          </cell>
          <cell r="L210" t="str">
            <v>No</v>
          </cell>
          <cell r="M210" t="str">
            <v>ECR's: (22456)111309(22736)111010(23024)121111;</v>
          </cell>
        </row>
        <row r="211">
          <cell r="C211" t="str">
            <v>P2002433</v>
          </cell>
          <cell r="D211" t="str">
            <v>LABEL - WARNING TOP HVY LOAD</v>
          </cell>
          <cell r="E211" t="str">
            <v>LABEL, WARNING TOP HEAVY LOAD;5" X 9.875" RECTANGLE WITH .125 C. RADIUS;WITH FINAL CARRIER WIDTH OF 5.125";2 PRINTED COLORS OF PMS 165 AND BLACK;STOCK NO.86 .0008 CLEAR POLYPROPYLENE W/PERMANENT ADHESIVE;STOCK NO.335 60# WHITE SEMI-GLOSS PAPER W/PERMANENT ADHESIVE;ROLLS OF 250;</v>
          </cell>
          <cell r="F211" t="str">
            <v>AWS MG In-Line Pumps</v>
          </cell>
          <cell r="G211" t="str">
            <v>0.1 (Design)</v>
          </cell>
          <cell r="H211" t="str">
            <v>Released-Published</v>
          </cell>
          <cell r="I211" t="str">
            <v>2022-01-23 01:46 EST</v>
          </cell>
          <cell r="J211" t="str">
            <v>2022-01-22 15:56 EST</v>
          </cell>
          <cell r="K211" t="str">
            <v>NA-Not Applicable</v>
          </cell>
          <cell r="L211" t="str">
            <v>No</v>
          </cell>
          <cell r="M211" t="str">
            <v>ECR's: (24223)093015(26521)070721;</v>
          </cell>
        </row>
        <row r="212">
          <cell r="C212" t="str">
            <v>P2002458</v>
          </cell>
          <cell r="D212" t="str">
            <v>DECAL,CAUTION  SEAL INSPECT.</v>
          </cell>
          <cell r="E212" t="str">
            <v>SEE DRAWING;</v>
          </cell>
          <cell r="F212" t="str">
            <v>AWS MG eMP - Americas Localization</v>
          </cell>
          <cell r="G212" t="str">
            <v>0.1 (Design)</v>
          </cell>
          <cell r="H212" t="str">
            <v>Released-Published</v>
          </cell>
          <cell r="I212" t="str">
            <v>2022-01-23 01:46 EST</v>
          </cell>
          <cell r="J212" t="str">
            <v>2022-01-22 15:45 EST</v>
          </cell>
          <cell r="K212" t="str">
            <v>NA-Not Applicable</v>
          </cell>
          <cell r="L212" t="str">
            <v>No</v>
          </cell>
          <cell r="M212" t="str">
            <v>ECR's: (24227)092914(26589)030521(26679)050321(26521)070721;</v>
          </cell>
        </row>
        <row r="213">
          <cell r="C213" t="str">
            <v>P2002540</v>
          </cell>
          <cell r="D213" t="str">
            <v>STUD .62-11UNC STUD X 2.00 STL</v>
          </cell>
          <cell r="E213" t="str">
            <v>MATERIAL: CARBON STEEL;</v>
          </cell>
          <cell r="F213" t="str">
            <v>AWS MG End Suction Pumps</v>
          </cell>
          <cell r="G213" t="str">
            <v>0.0 (Design)</v>
          </cell>
          <cell r="H213" t="str">
            <v>Released-Published</v>
          </cell>
          <cell r="I213" t="str">
            <v>2022-01-22 16:06 EST</v>
          </cell>
          <cell r="J213" t="str">
            <v>2022-01-22 16:06 EST</v>
          </cell>
          <cell r="K213" t="str">
            <v>NA-Not Applicable</v>
          </cell>
          <cell r="L213" t="str">
            <v>No</v>
          </cell>
          <cell r="M213" t="str">
            <v>ECR's: (24640)082015(26771)061121;</v>
          </cell>
        </row>
        <row r="214">
          <cell r="C214" t="str">
            <v>P2002541</v>
          </cell>
          <cell r="D214" t="str">
            <v>NUT JAM .62-11UNC STEEL</v>
          </cell>
          <cell r="E214" t="str">
            <v>MATERIAL: CARBON STEEL;</v>
          </cell>
          <cell r="F214" t="str">
            <v>AWS MG End Suction Pumps</v>
          </cell>
          <cell r="G214" t="str">
            <v>0.0 (Design)</v>
          </cell>
          <cell r="H214" t="str">
            <v>Released-Published</v>
          </cell>
          <cell r="I214" t="str">
            <v>2022-01-22 15:59 EST</v>
          </cell>
          <cell r="J214" t="str">
            <v>2022-01-22 15:59 EST</v>
          </cell>
          <cell r="K214" t="str">
            <v>NA-Not Applicable</v>
          </cell>
          <cell r="L214" t="str">
            <v>No</v>
          </cell>
          <cell r="M214" t="str">
            <v>ECR's: (24640)082015(26771)061121;</v>
          </cell>
        </row>
        <row r="215">
          <cell r="C215" t="str">
            <v>P2003620</v>
          </cell>
          <cell r="D215" t="str">
            <v>WARNING DECAL ENGLISH-FRENCH</v>
          </cell>
          <cell r="E215" t="str">
            <v>.010" THK. CLEAR VELVET POLYCARBONATE, ADHESIVE: 3M468, .005" THK., MUST BE U.L. APPROVED.</v>
          </cell>
          <cell r="F215" t="str">
            <v>AWS MG In-Line Pumps</v>
          </cell>
          <cell r="G215" t="str">
            <v>0.1 (Design)</v>
          </cell>
          <cell r="H215" t="str">
            <v>Released-Published</v>
          </cell>
          <cell r="I215" t="str">
            <v>2022-01-23 01:48 EST</v>
          </cell>
          <cell r="J215" t="str">
            <v>2022-01-22 16:11 EST</v>
          </cell>
          <cell r="K215" t="str">
            <v>NA-Not Applicable</v>
          </cell>
          <cell r="L215" t="str">
            <v>No</v>
          </cell>
          <cell r="M215" t="str">
            <v>ECR's: (25528)101817(25573)062918(26521)070721;</v>
          </cell>
        </row>
        <row r="216">
          <cell r="C216" t="str">
            <v>P2004342</v>
          </cell>
          <cell r="D216" t="str">
            <v>BLANK ENERGY RATING LABEL</v>
          </cell>
          <cell r="E216" t="str">
            <v>CUSTOM 2.5"X3",3" CORE, 1456 LABELS/ROLL;TT PRINTABLE POLYPRO 4000T W/HI-TACK ADH.</v>
          </cell>
          <cell r="F216" t="str">
            <v>AWS MG Production Drawings</v>
          </cell>
          <cell r="G216" t="str">
            <v>0.2 (Design)</v>
          </cell>
          <cell r="H216" t="str">
            <v>Released-Published</v>
          </cell>
          <cell r="I216" t="str">
            <v>2022-04-20 00:08 EDT</v>
          </cell>
          <cell r="J216" t="str">
            <v>2022-01-22 15:41 EST</v>
          </cell>
          <cell r="K216" t="str">
            <v>NA-Not Applicable</v>
          </cell>
          <cell r="L216" t="str">
            <v>Yes</v>
          </cell>
          <cell r="M216" t="str">
            <v>ECR's: (25601)020118(25834)112918(26521)070721; ESV: BARCODING, INC (PART NO.S416409/01);</v>
          </cell>
        </row>
        <row r="217">
          <cell r="C217" t="str">
            <v>P2004400</v>
          </cell>
          <cell r="D217" t="str">
            <v>DECAL,WARNING,PROP 65,LEAD</v>
          </cell>
          <cell r="E217" t="str">
            <v>SEE DRAWING;</v>
          </cell>
          <cell r="F217" t="str">
            <v>AWS MG Production Drawings</v>
          </cell>
          <cell r="G217" t="str">
            <v>1.0 (Design)</v>
          </cell>
          <cell r="H217" t="str">
            <v>Released-Published</v>
          </cell>
          <cell r="I217" t="str">
            <v>2022-09-19 06:50 EDT</v>
          </cell>
          <cell r="J217" t="str">
            <v>2022-09-19 06:50 EDT</v>
          </cell>
          <cell r="K217" t="str">
            <v>NA-Not Applicable</v>
          </cell>
          <cell r="L217" t="str">
            <v>No</v>
          </cell>
          <cell r="M217" t="str">
            <v>ECR's: (25688)073118(26132)091719(26589)030521(26521)070721;</v>
          </cell>
        </row>
        <row r="218">
          <cell r="C218" t="str">
            <v>P32000</v>
          </cell>
          <cell r="D218" t="str">
            <v>CAPSCREW HEX HD 1/4-20NCX3/4</v>
          </cell>
          <cell r="E218" t="str">
            <v>CAPSCREW, HEX HD. 1/4" DIA - 20 UNC-2A X 3/4" LG. DIMENSIONS TO CONFORM TO ANSI STANDARD B18.2.1;LOW CARBON STEEL SAE GRADE 2. NOTE: EACH SHIPPING CONTAINER TO HAVE A MAXIMUM;OF 3,000 PIECES. ZINC PLATED;</v>
          </cell>
          <cell r="F218" t="str">
            <v>AWS MG Production Drawings</v>
          </cell>
          <cell r="G218" t="str">
            <v>0.0 (Design)</v>
          </cell>
          <cell r="H218" t="str">
            <v>Released-Published</v>
          </cell>
          <cell r="I218" t="str">
            <v>2022-01-22 15:42 EST</v>
          </cell>
          <cell r="J218" t="str">
            <v>2022-01-22 15:42 EST</v>
          </cell>
          <cell r="K218" t="str">
            <v>NA-Not Applicable</v>
          </cell>
          <cell r="L218" t="str">
            <v>No</v>
          </cell>
          <cell r="M218" t="str">
            <v>ECR's: (14571)031290(23024)121111;</v>
          </cell>
        </row>
        <row r="219">
          <cell r="C219" t="str">
            <v>P39020</v>
          </cell>
          <cell r="D219" t="str">
            <v>PLUG HEX HD    1/8NPT</v>
          </cell>
          <cell r="E219" t="str">
            <v>PLUG, PIPE: HEX HD. SOLID 1/8" NPT - STEEL;"ZINC PLATED";</v>
          </cell>
          <cell r="F219" t="str">
            <v>AWS MG End Suction Pumps</v>
          </cell>
          <cell r="G219" t="str">
            <v>0.0 (Design)</v>
          </cell>
          <cell r="H219" t="str">
            <v>Released-Published</v>
          </cell>
          <cell r="I219" t="str">
            <v>2022-01-22 16:00 EST</v>
          </cell>
          <cell r="J219" t="str">
            <v>2022-01-22 16:00 EST</v>
          </cell>
          <cell r="K219" t="str">
            <v>NSF</v>
          </cell>
          <cell r="L219" t="str">
            <v>No</v>
          </cell>
          <cell r="M219" t="str">
            <v>ECR's: (23024)121111(24158)121514;</v>
          </cell>
        </row>
        <row r="220">
          <cell r="C220" t="str">
            <v>P39040</v>
          </cell>
          <cell r="D220" t="str">
            <v>PLUG HEX HD    1/4NPT</v>
          </cell>
          <cell r="E220" t="str">
            <v>PLUG, PIPE: HEX HD., 1/4" NPT. - STEEL;"ZINC PLATED".      U.S.A VENDOR;     REF: THIS PART IS USED IN A;     "MADE IN USA" ASSEMBLY.      REVIEW ASSEMBLY BEFORE;     SOURCING OUTSIDE THE U.S.A;</v>
          </cell>
          <cell r="F220" t="str">
            <v>AWS MG End Suction Pumps</v>
          </cell>
          <cell r="G220" t="str">
            <v>0.1 (Design)</v>
          </cell>
          <cell r="H220" t="str">
            <v>Released-Published</v>
          </cell>
          <cell r="I220" t="str">
            <v>2022-04-20 09:41 EDT</v>
          </cell>
          <cell r="J220" t="str">
            <v>2022-01-22 16:00 EST</v>
          </cell>
          <cell r="K220" t="str">
            <v>NSF</v>
          </cell>
          <cell r="L220" t="str">
            <v>No</v>
          </cell>
          <cell r="M220" t="str">
            <v>ECR's: (22080)110508(23024)121111(24158)121514;</v>
          </cell>
        </row>
        <row r="221">
          <cell r="C221" t="str">
            <v>P39050</v>
          </cell>
          <cell r="D221" t="str">
            <v>PLUG HEX HD    1/4NPT</v>
          </cell>
          <cell r="E221" t="str">
            <v>PLUG, PIPE HEXAGON HD. 1/4"NPT, TYPE #304-STAINLESS STEEL.</v>
          </cell>
          <cell r="F221" t="str">
            <v>AWS MG Production Drawings</v>
          </cell>
          <cell r="G221" t="str">
            <v>0.0 (Design)</v>
          </cell>
          <cell r="H221" t="str">
            <v>Released-Published</v>
          </cell>
          <cell r="I221" t="str">
            <v>2022-01-22 16:00 EST</v>
          </cell>
          <cell r="J221" t="str">
            <v>2022-01-22 16:00 EST</v>
          </cell>
          <cell r="K221" t="str">
            <v>NSF</v>
          </cell>
          <cell r="L221" t="str">
            <v>No</v>
          </cell>
          <cell r="M221" t="str">
            <v>ECR's: (23024)121111(24158)121514;</v>
          </cell>
        </row>
        <row r="222">
          <cell r="C222" t="str">
            <v>P39075</v>
          </cell>
          <cell r="D222" t="str">
            <v>PLUG SQ HD     3/8NPT</v>
          </cell>
          <cell r="E222" t="str">
            <v>PLUG, PIPE;SQUARE HEAD; SOLID - 3/8" NPT;CAST IRON, GALVANIZED.</v>
          </cell>
          <cell r="F222" t="str">
            <v>AWS MG Production Drawings</v>
          </cell>
          <cell r="G222" t="str">
            <v>0.0 (Design)</v>
          </cell>
          <cell r="H222" t="str">
            <v>Released-Published</v>
          </cell>
          <cell r="I222" t="str">
            <v>2022-01-22 16:00 EST</v>
          </cell>
          <cell r="J222" t="str">
            <v>2022-01-22 16:00 EST</v>
          </cell>
          <cell r="K222" t="str">
            <v>NSF</v>
          </cell>
          <cell r="L222" t="str">
            <v>No</v>
          </cell>
          <cell r="M222" t="str">
            <v>ECR's: (23024)121111(24158)121514;</v>
          </cell>
        </row>
        <row r="223">
          <cell r="C223" t="str">
            <v>P39470</v>
          </cell>
          <cell r="D223" t="str">
            <v>PLUG HEX HD    1/8NPT</v>
          </cell>
          <cell r="E223" t="str">
            <v>PLUG,PIPE  HEX. HD. SOLID 1/8"NPT BRASS;</v>
          </cell>
          <cell r="F223" t="str">
            <v>AWS MG End Suction Pumps</v>
          </cell>
          <cell r="G223" t="str">
            <v>0.0 (Design)</v>
          </cell>
          <cell r="H223" t="str">
            <v>Released-Published</v>
          </cell>
          <cell r="I223" t="str">
            <v>2022-01-22 16:00 EST</v>
          </cell>
          <cell r="J223" t="str">
            <v>2022-01-22 16:00 EST</v>
          </cell>
          <cell r="K223" t="str">
            <v>NSF</v>
          </cell>
          <cell r="L223" t="str">
            <v>No</v>
          </cell>
          <cell r="M223" t="str">
            <v>ECR's: (23024)121111(24158)121514;</v>
          </cell>
        </row>
        <row r="224">
          <cell r="C224" t="str">
            <v>P40020</v>
          </cell>
          <cell r="D224" t="str">
            <v>CAPSCREW HEX HD3/8-16UNCX7/8</v>
          </cell>
          <cell r="E224" t="str">
            <v>CAPSCREW, HEX.HD.3/8" DIA. 16UNC-2A X 7/8"LG. DIMENSIONS TO CONFORM TO ANSI STANDARD B18.2.1;"LOW CARBON STEEL, SAE GRADE 2";NOTE: EACH SHIPPING CONTAINER TO HAVE A;MAXIMUM OF 1000 PIECES. ZINC PLATED;</v>
          </cell>
          <cell r="F224" t="str">
            <v>AWS MG End Suction Pumps</v>
          </cell>
          <cell r="G224" t="str">
            <v>0.0 (Design)</v>
          </cell>
          <cell r="H224" t="str">
            <v>Released-Published</v>
          </cell>
          <cell r="I224" t="str">
            <v>2022-01-22 15:42 EST</v>
          </cell>
          <cell r="J224" t="str">
            <v>2022-01-22 15:42 EST</v>
          </cell>
          <cell r="K224" t="str">
            <v>NA-Not Applicable</v>
          </cell>
          <cell r="L224" t="str">
            <v>No</v>
          </cell>
          <cell r="M224" t="str">
            <v>ECR's: (14571)031290(23024)121111;</v>
          </cell>
        </row>
        <row r="225">
          <cell r="C225" t="str">
            <v>P44190</v>
          </cell>
          <cell r="D225" t="str">
            <v>NUT HX LGT     5/16-18UNC-2B</v>
          </cell>
          <cell r="E225" t="str">
            <v>NUT, HEXAGON; 5/16" - 18 UNC-2B: AMERICAN STANDARD, LIGHT, SEMI-FINISHED;ZINC PLATED;</v>
          </cell>
          <cell r="F225" t="str">
            <v>AWS Hoffman Product Family</v>
          </cell>
          <cell r="G225" t="str">
            <v>0.0 (Design)</v>
          </cell>
          <cell r="H225" t="str">
            <v>Released-Published</v>
          </cell>
          <cell r="I225" t="str">
            <v>2022-01-22 15:59 EST</v>
          </cell>
          <cell r="J225" t="str">
            <v>2022-01-22 15:59 EST</v>
          </cell>
          <cell r="K225" t="str">
            <v>NSF</v>
          </cell>
          <cell r="L225" t="str">
            <v>No</v>
          </cell>
          <cell r="M225" t="str">
            <v>ECR's: (14571)031290(23024)121111(24159)052915;</v>
          </cell>
        </row>
        <row r="226">
          <cell r="C226" t="str">
            <v>P44250</v>
          </cell>
          <cell r="D226" t="str">
            <v>CAPSCREW HEX HD 3/8-16NCX3</v>
          </cell>
          <cell r="E226" t="str">
            <v>SCREW, CAP; HEX. HEAD 3/8" DIA;16 UNC - 2A X 3" LG. STEEL. DIMENSIONS TO CONFORM TO ANSI STANDARD B18.2.1;LOW CARBON STEEL, SAE GRADE 2. ZINC PLATED;</v>
          </cell>
          <cell r="F226" t="str">
            <v>AWS MG Production Drawings</v>
          </cell>
          <cell r="G226" t="str">
            <v>0.0 (Design)</v>
          </cell>
          <cell r="H226" t="str">
            <v>Released-Published</v>
          </cell>
          <cell r="I226" t="str">
            <v>2022-01-22 15:42 EST</v>
          </cell>
          <cell r="J226" t="str">
            <v>2022-01-22 15:42 EST</v>
          </cell>
          <cell r="K226" t="str">
            <v>NA-Not Applicable</v>
          </cell>
          <cell r="L226" t="str">
            <v>No</v>
          </cell>
          <cell r="M226" t="str">
            <v>ECR's: (14571)031290(23024)121111;</v>
          </cell>
        </row>
        <row r="227">
          <cell r="C227" t="str">
            <v>P44580</v>
          </cell>
          <cell r="D227" t="str">
            <v>WASHER FLAT    5/16 BOLT SIZE</v>
          </cell>
          <cell r="E227" t="str">
            <v>WASHER; STANDARD FLAT; 5/16" BOLT SIZE;-7/8" O.D. X 3/8" I.D. X # 14 GA.  (5/64")TK.-STEEL, ZINC PLATED;</v>
          </cell>
          <cell r="F227" t="str">
            <v>AWS MG Production Drawings</v>
          </cell>
          <cell r="G227" t="str">
            <v>0.0 (Design)</v>
          </cell>
          <cell r="H227" t="str">
            <v>Released-Published</v>
          </cell>
          <cell r="I227" t="str">
            <v>2022-01-22 16:11 EST</v>
          </cell>
          <cell r="J227" t="str">
            <v>2022-01-22 16:11 EST</v>
          </cell>
          <cell r="K227" t="str">
            <v>NA-Not Applicable</v>
          </cell>
          <cell r="L227" t="str">
            <v>No</v>
          </cell>
          <cell r="M227" t="str">
            <v>ECR's: (14571)031290(23024)121111;</v>
          </cell>
        </row>
        <row r="228">
          <cell r="C228" t="str">
            <v>P44620</v>
          </cell>
          <cell r="D228" t="str">
            <v>LOCKWASHER     5/16 BOLT SIZE</v>
          </cell>
          <cell r="E228" t="str">
            <v>LOCKWASHER; SPLIT RING SPRING DESIGN; 5/16" DIA. BOLT SIZE; MEDIUM SERIES; CARBON STEEL. ZINC PLATED;</v>
          </cell>
          <cell r="F228" t="str">
            <v>AWS MG End Suction Pumps</v>
          </cell>
          <cell r="G228" t="str">
            <v>0.0 (Design)</v>
          </cell>
          <cell r="H228" t="str">
            <v>Released-Published</v>
          </cell>
          <cell r="I228" t="str">
            <v>2022-01-22 15:57 EST</v>
          </cell>
          <cell r="J228" t="str">
            <v>2022-01-22 15:57 EST</v>
          </cell>
          <cell r="K228" t="str">
            <v>NSF</v>
          </cell>
          <cell r="L228" t="str">
            <v>No</v>
          </cell>
          <cell r="M228" t="str">
            <v>ECR's: (14571)031290(23024)121111(24158)121514;</v>
          </cell>
        </row>
        <row r="229">
          <cell r="C229" t="str">
            <v>P45110</v>
          </cell>
          <cell r="D229" t="str">
            <v>CAPSCREW,HEX HD 1/2-13NCX1-3/4</v>
          </cell>
          <cell r="E229" t="str">
            <v>1/2"DIA.-13 UNC-2A X 1-3/4"LG. ASTM-A449/SAE-J429 GRADE 5, STEEL.</v>
          </cell>
          <cell r="F229" t="str">
            <v>AWS MG Production Drawings</v>
          </cell>
          <cell r="G229" t="str">
            <v>0.0 (Design)</v>
          </cell>
          <cell r="H229" t="str">
            <v>Released-Published</v>
          </cell>
          <cell r="I229" t="str">
            <v>2022-01-22 15:42 EST</v>
          </cell>
          <cell r="J229" t="str">
            <v>2022-01-22 15:42 EST</v>
          </cell>
          <cell r="K229" t="str">
            <v>NA-Not Applicable</v>
          </cell>
          <cell r="L229" t="str">
            <v>No</v>
          </cell>
          <cell r="M229" t="str">
            <v>ECR's: (16003)072693(23024)121111;</v>
          </cell>
        </row>
        <row r="230">
          <cell r="C230" t="str">
            <v>P45360</v>
          </cell>
          <cell r="D230" t="str">
            <v>WASHER FLAT    7/16 BOLT SIZE</v>
          </cell>
          <cell r="E230" t="str">
            <v>7/16" STD. MIL-CARB (HIGH STRENGTH HEAT TREATED);ROCKWELL 38-45;FLAT WASHER PLAIN (1/2 X 1.25 X .064);</v>
          </cell>
          <cell r="F230" t="str">
            <v>AWS MG End Suction Pumps</v>
          </cell>
          <cell r="G230" t="str">
            <v>0.0 (Design)</v>
          </cell>
          <cell r="H230" t="str">
            <v>Released-Published</v>
          </cell>
          <cell r="I230" t="str">
            <v>2022-01-22 16:11 EST</v>
          </cell>
          <cell r="J230" t="str">
            <v>2022-01-22 16:11 EST</v>
          </cell>
          <cell r="K230" t="str">
            <v>NA-Not Applicable</v>
          </cell>
          <cell r="L230" t="str">
            <v>No</v>
          </cell>
          <cell r="M230" t="str">
            <v>ECR's: (14571)031290(23024)121111(23217)022012;</v>
          </cell>
        </row>
        <row r="231">
          <cell r="C231" t="str">
            <v>P45910</v>
          </cell>
          <cell r="D231" t="str">
            <v>NUT HEX LGT    7/16-20UNF-2B</v>
          </cell>
          <cell r="E231" t="str">
            <v>NUT, HEXAGON: 7/16" - 20 UNF-2B: AMERICAN STANDARD;LIGHT SEMI-FINISHED,(FULL THICKNESS)- STEEL,ZINC;PLATED.</v>
          </cell>
          <cell r="F231" t="str">
            <v>AWS MG Circulator Pumps</v>
          </cell>
          <cell r="G231" t="str">
            <v>0.0 (Design)</v>
          </cell>
          <cell r="H231" t="str">
            <v>Released-Published</v>
          </cell>
          <cell r="I231" t="str">
            <v>2022-01-22 15:59 EST</v>
          </cell>
          <cell r="J231" t="str">
            <v>2022-01-22 15:59 EST</v>
          </cell>
          <cell r="K231" t="str">
            <v>NA-Not Applicable</v>
          </cell>
          <cell r="L231" t="str">
            <v>No</v>
          </cell>
          <cell r="M231" t="str">
            <v>ECR's: (23024)121111;</v>
          </cell>
        </row>
        <row r="232">
          <cell r="C232" t="str">
            <v>P46380</v>
          </cell>
          <cell r="D232" t="str">
            <v>WASHER,IMPELLER</v>
          </cell>
          <cell r="E232" t="str">
            <v>STEEL, B&amp;G #X14500;FINISH: HOT ROLLED, PICKLED &amp; OILED DRAWING QUALITY (HRPODQ);CHEMISTRY: C1008 .10 MAX. CARBON (CARBON RANGE .05-.10);HARDNESS: ROCKWELL B65 MAX.</v>
          </cell>
          <cell r="F232" t="str">
            <v>AWS MG End Suction Pumps</v>
          </cell>
          <cell r="G232" t="str">
            <v>0.1 (Design)</v>
          </cell>
          <cell r="H232" t="str">
            <v>Released-Published</v>
          </cell>
          <cell r="I232" t="str">
            <v>2022-01-23 01:51 EST</v>
          </cell>
          <cell r="J232" t="str">
            <v>2022-01-22 16:11 EST</v>
          </cell>
          <cell r="K232" t="str">
            <v>NSF</v>
          </cell>
          <cell r="L232" t="str">
            <v>No</v>
          </cell>
          <cell r="M232" t="str">
            <v>ECR's: (17890)102198(23024)121111(24158)121514;</v>
          </cell>
        </row>
        <row r="233">
          <cell r="C233" t="str">
            <v>P46390</v>
          </cell>
          <cell r="D233" t="str">
            <v>WASHER,IMPELLER</v>
          </cell>
          <cell r="E233" t="str">
            <v>BRASS PLATE, B&amp;G#X20200;ASTM B36 ALLOY C26000, ANNEALED TEMPER BRASS 70% (70-30);ALTERNATE APPROVED MATERIALS: JAPANESE STANDARD JIS;H3250 GRADE C3604;</v>
          </cell>
          <cell r="F233" t="str">
            <v>AWS MG End Suction Pumps</v>
          </cell>
          <cell r="G233" t="str">
            <v>0.1 (Design)</v>
          </cell>
          <cell r="H233" t="str">
            <v>Released-Published</v>
          </cell>
          <cell r="I233" t="str">
            <v>2022-01-23 01:51 EST</v>
          </cell>
          <cell r="J233" t="str">
            <v>2022-01-22 16:11 EST</v>
          </cell>
          <cell r="K233" t="str">
            <v>NSF</v>
          </cell>
          <cell r="L233" t="str">
            <v>No</v>
          </cell>
          <cell r="M233" t="str">
            <v>ECR's: (17890)102198(21571)082807(23024)121111(24158)121514;</v>
          </cell>
        </row>
        <row r="234">
          <cell r="C234" t="str">
            <v>P46420</v>
          </cell>
          <cell r="D234" t="str">
            <v>LOCKWASHER     5/8 BOLT SIZE</v>
          </cell>
          <cell r="E234" t="str">
            <v>LOCKWASHER; SPLIT RING TYPE (SPRING) 5/8" BOLT;SIZE; MEDIUM SECTION - LOW CARBON STEEL. ZINC PLATED;</v>
          </cell>
          <cell r="F234" t="str">
            <v>AWS MG End Suction Pumps</v>
          </cell>
          <cell r="G234" t="str">
            <v>0.0 (Design)</v>
          </cell>
          <cell r="H234" t="str">
            <v>Released-Published</v>
          </cell>
          <cell r="I234" t="str">
            <v>2022-01-22 15:57 EST</v>
          </cell>
          <cell r="J234" t="str">
            <v>2022-01-22 15:57 EST</v>
          </cell>
          <cell r="K234" t="str">
            <v>NSF</v>
          </cell>
          <cell r="L234" t="str">
            <v>No</v>
          </cell>
          <cell r="M234" t="str">
            <v>ECR's: (14571)031290(23024)121111(24158)121514;</v>
          </cell>
        </row>
        <row r="235">
          <cell r="C235" t="str">
            <v>P49358</v>
          </cell>
          <cell r="D235" t="str">
            <v>KEY,IMPELLER   1/8X1/2 NOM</v>
          </cell>
          <cell r="E235" t="str">
            <v>KEY, IMPELLER: HI-PRO, 1/8" X 1/2" NOM. SIZE -CARBON STEEL SAE 1035 OR C1018;</v>
          </cell>
          <cell r="F235" t="str">
            <v>AWS MG Circulator Pumps</v>
          </cell>
          <cell r="G235" t="str">
            <v>0.0 (Design)</v>
          </cell>
          <cell r="H235" t="str">
            <v>Released-Published</v>
          </cell>
          <cell r="I235" t="str">
            <v>2022-01-22 15:55 EST</v>
          </cell>
          <cell r="J235" t="str">
            <v>2022-01-22 15:55 EST</v>
          </cell>
          <cell r="K235" t="str">
            <v>NA-Not Applicable</v>
          </cell>
          <cell r="L235" t="str">
            <v>Yes</v>
          </cell>
          <cell r="M235" t="str">
            <v>ECR's: (23024)121111; ESV: 1) GALGER ENG. AND MFG.CO.--- #HP404, HI-PRO KEY;</v>
          </cell>
        </row>
        <row r="236">
          <cell r="C236" t="str">
            <v>P49369</v>
          </cell>
          <cell r="D236" t="str">
            <v>KEY            3/16SQX1"LG</v>
          </cell>
          <cell r="E236" t="str">
            <v>KEY,TYPE 304 STAINLESS STEEL BAR,ANNEALED COLD;FINISH GROUND,ASTM A276,TP304. 3/16" SQ. X 1" LG.</v>
          </cell>
          <cell r="F236" t="str">
            <v>AWS MG End Suction Pumps</v>
          </cell>
          <cell r="G236" t="str">
            <v>0.1 (Design)</v>
          </cell>
          <cell r="H236" t="str">
            <v>Released-Published</v>
          </cell>
          <cell r="I236" t="str">
            <v>2022-01-23 01:51 EST</v>
          </cell>
          <cell r="J236" t="str">
            <v>2022-01-22 15:55 EST</v>
          </cell>
          <cell r="K236" t="str">
            <v>NSF</v>
          </cell>
          <cell r="L236" t="str">
            <v>No</v>
          </cell>
          <cell r="M236" t="str">
            <v>ECR's: (23024)121111(24158)121514;</v>
          </cell>
        </row>
        <row r="237">
          <cell r="C237" t="str">
            <v>P49371</v>
          </cell>
          <cell r="D237" t="str">
            <v>KEY            1/4SQX1-7/8LG</v>
          </cell>
          <cell r="E237" t="str">
            <v>KEY, CARBON STEEL BAR STOCK,COLD DRAWN. ASTM A108 GR. C1018. 1/4"SQ. X 1-7/8" LG.</v>
          </cell>
          <cell r="F237" t="str">
            <v>AWS MG End Suction Pumps</v>
          </cell>
          <cell r="G237" t="str">
            <v>0.1 (Design)</v>
          </cell>
          <cell r="H237" t="str">
            <v>Released-Published</v>
          </cell>
          <cell r="I237" t="str">
            <v>2022-01-23 01:51 EST</v>
          </cell>
          <cell r="J237" t="str">
            <v>2022-01-22 15:55 EST</v>
          </cell>
          <cell r="K237" t="str">
            <v>NA-Not Applicable</v>
          </cell>
          <cell r="L237" t="str">
            <v>No</v>
          </cell>
          <cell r="M237" t="str">
            <v>ECR's: (23024)121111;</v>
          </cell>
        </row>
        <row r="238">
          <cell r="C238" t="str">
            <v>P49372</v>
          </cell>
          <cell r="D238" t="str">
            <v>KEY            1/4SQX1-7/8LG</v>
          </cell>
          <cell r="E238" t="str">
            <v>KEY, TYPE 304 STAINLESS STEEL BAR, ANNEALED COLD FINISHED GROUND, ASTM A276,TP304. 1/4" SQ. X 1-7/8" LG.</v>
          </cell>
          <cell r="F238" t="str">
            <v>AWS MG End Suction Pumps</v>
          </cell>
          <cell r="G238" t="str">
            <v>0.1 (Design)</v>
          </cell>
          <cell r="H238" t="str">
            <v>Released-Published</v>
          </cell>
          <cell r="I238" t="str">
            <v>2022-01-23 01:51 EST</v>
          </cell>
          <cell r="J238" t="str">
            <v>2022-01-22 15:55 EST</v>
          </cell>
          <cell r="K238" t="str">
            <v>FM,NSF,UL/ULC</v>
          </cell>
          <cell r="L238" t="str">
            <v>No</v>
          </cell>
          <cell r="M238" t="str">
            <v>ECR's: (22330)071009(23024)121111(24158)020315;</v>
          </cell>
        </row>
        <row r="239">
          <cell r="C239" t="str">
            <v>P49373</v>
          </cell>
          <cell r="D239" t="str">
            <v>KEY,COUPLER    1/4SQX1-1/4LG</v>
          </cell>
          <cell r="E239" t="str">
            <v>KEY COUPLER: (1510 &amp; 3510 PUMB);1/4" SQUARE   1-1/4" LG., CARBON STEEL BAR, COLD DRAWN;ASTM A108, GR. C 1018;</v>
          </cell>
          <cell r="F239" t="str">
            <v>AWS MG End Suction Pumps</v>
          </cell>
          <cell r="G239" t="str">
            <v>0.0 (Design)</v>
          </cell>
          <cell r="H239" t="str">
            <v>Released-Published</v>
          </cell>
          <cell r="I239" t="str">
            <v>2022-01-22 15:55 EST</v>
          </cell>
          <cell r="J239" t="str">
            <v>2022-01-22 15:55 EST</v>
          </cell>
          <cell r="K239" t="str">
            <v>NSF</v>
          </cell>
          <cell r="L239" t="str">
            <v>No</v>
          </cell>
          <cell r="M239" t="str">
            <v>ECR's: (23024)121111(24158)121514;</v>
          </cell>
        </row>
        <row r="240">
          <cell r="C240" t="str">
            <v>P5001037</v>
          </cell>
          <cell r="D240" t="str">
            <v>CAPSCREW HEX HD 5/16-18NC X 2</v>
          </cell>
          <cell r="E240" t="str">
            <v>CAPSCREW, HEX HD 5/16-18UNC X 2;DIMENSIONS TO CONFORM TO ANSI STANDARD B18.2.1;LOW CARBON STEEL, SAE GRADE 2, ZINC PLATED;</v>
          </cell>
          <cell r="F240" t="str">
            <v>AWS VSX Pump</v>
          </cell>
          <cell r="G240" t="str">
            <v>0.0 (Design)</v>
          </cell>
          <cell r="H240" t="str">
            <v>Released-Published</v>
          </cell>
          <cell r="I240" t="str">
            <v>2022-01-22 15:42 EST</v>
          </cell>
          <cell r="J240" t="str">
            <v>2022-01-22 15:42 EST</v>
          </cell>
          <cell r="K240" t="str">
            <v>NA-Not Applicable</v>
          </cell>
          <cell r="L240" t="str">
            <v>No</v>
          </cell>
          <cell r="M240" t="str">
            <v>ECR's: (20476) 102904(20786)100605(23024)121111;</v>
          </cell>
        </row>
        <row r="241">
          <cell r="C241" t="str">
            <v>P5001038</v>
          </cell>
          <cell r="D241" t="str">
            <v>SNAP RING EXT. 2"</v>
          </cell>
          <cell r="E241" t="str">
            <v>SNAP RING, STAINLESS STEEL, EXT. 2";</v>
          </cell>
          <cell r="F241" t="str">
            <v>AWS VSX Pump</v>
          </cell>
          <cell r="G241" t="str">
            <v>0.0 (Design)</v>
          </cell>
          <cell r="H241" t="str">
            <v>Released-Published</v>
          </cell>
          <cell r="I241" t="str">
            <v>2022-01-22 16:05 EST</v>
          </cell>
          <cell r="J241" t="str">
            <v>2022-01-22 16:05 EST</v>
          </cell>
          <cell r="K241" t="str">
            <v>NA-Not Applicable</v>
          </cell>
          <cell r="L241" t="str">
            <v>Yes</v>
          </cell>
          <cell r="M241" t="str">
            <v>ECR's: (20476) 102904(20786)100605(23024)121111; ESV) 1.  ROTOCLIP #SH-200SS;       2. WALDES #5100-200H;</v>
          </cell>
        </row>
        <row r="242">
          <cell r="C242" t="str">
            <v>P5001059</v>
          </cell>
          <cell r="D242" t="str">
            <v>SNAP RING EXT. 1.62"</v>
          </cell>
          <cell r="E242" t="str">
            <v>SNAP RING,  EXT. 1.62";</v>
          </cell>
          <cell r="F242" t="str">
            <v>AWS VSX Pump</v>
          </cell>
          <cell r="G242" t="str">
            <v>0.0 (Design)</v>
          </cell>
          <cell r="H242" t="str">
            <v>Released-Published</v>
          </cell>
          <cell r="I242" t="str">
            <v>2022-01-22 16:05 EST</v>
          </cell>
          <cell r="J242" t="str">
            <v>2022-01-22 16:05 EST</v>
          </cell>
          <cell r="K242" t="str">
            <v>NA-Not Applicable</v>
          </cell>
          <cell r="L242" t="str">
            <v>Yes</v>
          </cell>
          <cell r="M242" t="str">
            <v>ECR's: (20481) 102904(20786)100605(23024)121111; ESV) 1.  ROTOCLIP #SH-162ST;       2. WALDES #5100-162S;</v>
          </cell>
        </row>
        <row r="243">
          <cell r="C243" t="str">
            <v>P5001094</v>
          </cell>
          <cell r="D243" t="str">
            <v>SNAP RING EXT. 2.5"</v>
          </cell>
          <cell r="E243" t="str">
            <v>SNAP RING, STAINLESS STEEL, EXT. 2.5";</v>
          </cell>
          <cell r="F243" t="str">
            <v>AWS VSX Pump</v>
          </cell>
          <cell r="G243" t="str">
            <v>0.0 (Design)</v>
          </cell>
          <cell r="H243" t="str">
            <v>Released-Published</v>
          </cell>
          <cell r="I243" t="str">
            <v>2022-01-22 16:05 EST</v>
          </cell>
          <cell r="J243" t="str">
            <v>2022-01-22 16:05 EST</v>
          </cell>
          <cell r="K243" t="str">
            <v>NA-Not Applicable</v>
          </cell>
          <cell r="L243" t="str">
            <v>Yes</v>
          </cell>
          <cell r="M243" t="str">
            <v>ECR's: (20482) 110804(20786)100605(23024)121111; ESV) 1.  ROTOCLIP #SH-250SS;       2. WALDES #5100-250H;</v>
          </cell>
        </row>
        <row r="244">
          <cell r="C244" t="str">
            <v>P5001251</v>
          </cell>
          <cell r="D244" t="str">
            <v>KEY IMPELLER 5/8X5/8X4.625</v>
          </cell>
          <cell r="E244" t="str">
            <v>KEY, IMPELLER 5/8"X5/8"X4.625";SQUARE PLAIN PARALLEL;300 SERIES STAINLESS STEEL;</v>
          </cell>
          <cell r="F244" t="str">
            <v>AWS VSX Pump</v>
          </cell>
          <cell r="G244" t="str">
            <v>0.1 (Design)</v>
          </cell>
          <cell r="H244" t="str">
            <v>Released-Published</v>
          </cell>
          <cell r="I244" t="str">
            <v>2022-01-23 01:51 EST</v>
          </cell>
          <cell r="J244" t="str">
            <v>2022-01-22 15:55 EST</v>
          </cell>
          <cell r="K244" t="str">
            <v>NA-Not Applicable</v>
          </cell>
          <cell r="L244" t="str">
            <v>No</v>
          </cell>
          <cell r="M244" t="str">
            <v>ECR's: (20554) 022805(20786)100705(20709)110205(20943)040406(23024)121111;</v>
          </cell>
        </row>
        <row r="245">
          <cell r="C245" t="str">
            <v>P5001259</v>
          </cell>
          <cell r="D245" t="str">
            <v>SNAP RING EXT. 3"</v>
          </cell>
          <cell r="E245" t="str">
            <v>SNAP RING, STAINLESS STEEL, EXT. 3";</v>
          </cell>
          <cell r="F245" t="str">
            <v>AWS VSX Pump</v>
          </cell>
          <cell r="G245" t="str">
            <v>0.0 (Design)</v>
          </cell>
          <cell r="H245" t="str">
            <v>Released-Published</v>
          </cell>
          <cell r="I245" t="str">
            <v>2022-01-22 16:05 EST</v>
          </cell>
          <cell r="J245" t="str">
            <v>2022-01-22 16:05 EST</v>
          </cell>
          <cell r="K245" t="str">
            <v>NA-Not Applicable</v>
          </cell>
          <cell r="L245" t="str">
            <v>Yes</v>
          </cell>
          <cell r="M245" t="str">
            <v>ECR's: (20554) 022805(20786)100705(23024)121111; ESV) 1.  ROTOCLIP #SH-293SS;       2. WALDES #5100-293H;</v>
          </cell>
        </row>
        <row r="246">
          <cell r="C246" t="str">
            <v>P5001283</v>
          </cell>
          <cell r="D246" t="str">
            <v>SNAP RING EXT. 3.5"</v>
          </cell>
          <cell r="E246" t="str">
            <v>SNAP RING, STAINLESS STEEL, EXT. 3.5";</v>
          </cell>
          <cell r="F246" t="str">
            <v>AWS VSX Pump</v>
          </cell>
          <cell r="G246" t="str">
            <v>0.0 (Design)</v>
          </cell>
          <cell r="H246" t="str">
            <v>Released-Published</v>
          </cell>
          <cell r="I246" t="str">
            <v>2022-01-22 16:05 EST</v>
          </cell>
          <cell r="J246" t="str">
            <v>2022-01-22 16:05 EST</v>
          </cell>
          <cell r="K246" t="str">
            <v>NA-Not Applicable</v>
          </cell>
          <cell r="L246" t="str">
            <v>Yes</v>
          </cell>
          <cell r="M246" t="str">
            <v>ECR's: (20554) 022805(20786)100705(23024)121111; ESV) 1.  ROTOCLIP #SH-343SS;       2. WALDES #5100-343H;</v>
          </cell>
        </row>
        <row r="247">
          <cell r="C247" t="str">
            <v>P5001287</v>
          </cell>
          <cell r="D247" t="str">
            <v>KEY IMPELLER 3/8X3/8X3.375</v>
          </cell>
          <cell r="E247" t="str">
            <v>KEY, IMPELLER 3/8"X3/8"X3.375";SQUARE PLAIN PARALLEL;300 SERIES STAINLESS STEEL;</v>
          </cell>
          <cell r="F247" t="str">
            <v>AWS VSX Pump</v>
          </cell>
          <cell r="G247" t="str">
            <v>0.1 (Design)</v>
          </cell>
          <cell r="H247" t="str">
            <v>Released-Published</v>
          </cell>
          <cell r="I247" t="str">
            <v>2022-01-23 01:51 EST</v>
          </cell>
          <cell r="J247" t="str">
            <v>2022-01-22 15:55 EST</v>
          </cell>
          <cell r="K247" t="str">
            <v>NA-Not Applicable</v>
          </cell>
          <cell r="L247" t="str">
            <v>No</v>
          </cell>
          <cell r="M247" t="str">
            <v>ECR's: (20554) 022805(20786)100705(20709)110205(20943)040406(23024)121111;</v>
          </cell>
        </row>
        <row r="248">
          <cell r="C248" t="str">
            <v>P5001288</v>
          </cell>
          <cell r="D248" t="str">
            <v>KEY IMPELLER 1/2X1/2X4.125</v>
          </cell>
          <cell r="E248" t="str">
            <v>KEY, IMPELLER 1/2"X1/2"X4.125";SQUARE PLAIN PARALLEL;300 SERIES STAINLESS STEEL;</v>
          </cell>
          <cell r="F248" t="str">
            <v>AWS VSX Pump</v>
          </cell>
          <cell r="G248" t="str">
            <v>0.1 (Design)</v>
          </cell>
          <cell r="H248" t="str">
            <v>Released-Published</v>
          </cell>
          <cell r="I248" t="str">
            <v>2022-01-23 01:51 EST</v>
          </cell>
          <cell r="J248" t="str">
            <v>2022-01-22 15:55 EST</v>
          </cell>
          <cell r="K248" t="str">
            <v>NA-Not Applicable</v>
          </cell>
          <cell r="L248" t="str">
            <v>No</v>
          </cell>
          <cell r="M248" t="str">
            <v>ECR's: (20554) 022805(20786)100705(20709)110205(20943)040406(23024)121111;</v>
          </cell>
        </row>
        <row r="249">
          <cell r="C249" t="str">
            <v>P5001577</v>
          </cell>
          <cell r="D249" t="str">
            <v>KEY COUPLER 5/16X5/16X2.313</v>
          </cell>
          <cell r="E249" t="str">
            <v>KEY, COUPLER: CARBON STEEL BAR STOCK,COLD DRAWN. ASTM A108 GR. C1018. 5/16"X5/16"X2.313";</v>
          </cell>
          <cell r="F249" t="str">
            <v>AWS VSX Pump</v>
          </cell>
          <cell r="G249" t="str">
            <v>0.1 (Design)</v>
          </cell>
          <cell r="H249" t="str">
            <v>Released-Published</v>
          </cell>
          <cell r="I249" t="str">
            <v>2022-01-23 01:52 EST</v>
          </cell>
          <cell r="J249" t="str">
            <v>2022-01-22 15:55 EST</v>
          </cell>
          <cell r="K249" t="str">
            <v>NA-Not Applicable</v>
          </cell>
          <cell r="L249" t="str">
            <v>No</v>
          </cell>
          <cell r="M249" t="str">
            <v>ECR's: (20709)110105(20854)022006(23024)121111;</v>
          </cell>
        </row>
        <row r="250">
          <cell r="C250" t="str">
            <v>P5001743</v>
          </cell>
          <cell r="D250" t="str">
            <v>WASHER FLAT 1 BOLT SIZE</v>
          </cell>
          <cell r="E250" t="str">
            <v>WASHER FLAT STD. 1 BOLT SIZE;2.5" O.D. X .160'  THK STEEL;ZINC PLATED;</v>
          </cell>
          <cell r="F250" t="str">
            <v>AWS VSX Pump</v>
          </cell>
          <cell r="G250" t="str">
            <v>0.0 (Design)</v>
          </cell>
          <cell r="H250" t="str">
            <v>Released-Published</v>
          </cell>
          <cell r="I250" t="str">
            <v>2022-01-22 16:11 EST</v>
          </cell>
          <cell r="J250" t="str">
            <v>2022-01-22 16:11 EST</v>
          </cell>
          <cell r="K250" t="str">
            <v>NA-Not Applicable</v>
          </cell>
          <cell r="L250" t="str">
            <v>No</v>
          </cell>
          <cell r="M250" t="str">
            <v>ECR's: (20766) 091305(23024)121111;</v>
          </cell>
        </row>
        <row r="251">
          <cell r="C251" t="str">
            <v>P5001744</v>
          </cell>
          <cell r="D251" t="str">
            <v>LOCKWASHER 1 BOLT SIZE</v>
          </cell>
          <cell r="E251" t="str">
            <v>LOCKWASHER: SPLIT RING TYPE (SPRING) 1 BOLT;HEAVY SECTION - CARBON STEEL;ZINC PLATED;</v>
          </cell>
          <cell r="F251" t="str">
            <v>AWS VSX Pump</v>
          </cell>
          <cell r="G251" t="str">
            <v>0.0 (Design)</v>
          </cell>
          <cell r="H251" t="str">
            <v>Released-Published</v>
          </cell>
          <cell r="I251" t="str">
            <v>2022-01-22 15:57 EST</v>
          </cell>
          <cell r="J251" t="str">
            <v>2022-01-22 15:57 EST</v>
          </cell>
          <cell r="K251" t="str">
            <v>NA-Not Applicable</v>
          </cell>
          <cell r="L251" t="str">
            <v>No</v>
          </cell>
          <cell r="M251" t="str">
            <v>ECR's: (20766) 091305(23024)121111;</v>
          </cell>
        </row>
        <row r="252">
          <cell r="C252" t="str">
            <v>P5001747</v>
          </cell>
          <cell r="D252" t="str">
            <v>CAPSCREW HX HD 5/8-11UNC X 4.5</v>
          </cell>
          <cell r="E252" t="str">
            <v>5/8" DIA. - 11 UNC X 4.5" LG. DIMENSIONS TO CONFORM TO ANSI STANDARD B18.2.2;LOW CARBON STEEL, SAE GRADE 3;ZINC PLATED;</v>
          </cell>
          <cell r="F252" t="str">
            <v>AWS VSX Pump</v>
          </cell>
          <cell r="G252" t="str">
            <v>0.0 (Design)</v>
          </cell>
          <cell r="H252" t="str">
            <v>Released-Published</v>
          </cell>
          <cell r="I252" t="str">
            <v>2022-01-22 15:42 EST</v>
          </cell>
          <cell r="J252" t="str">
            <v>2022-01-22 15:42 EST</v>
          </cell>
          <cell r="K252" t="str">
            <v>NA-Not Applicable</v>
          </cell>
          <cell r="L252" t="str">
            <v>No</v>
          </cell>
          <cell r="M252" t="str">
            <v>ECR's: (20766)091305(22249)051010(23024)121111;</v>
          </cell>
        </row>
        <row r="253">
          <cell r="C253" t="str">
            <v>P5001992</v>
          </cell>
          <cell r="D253" t="str">
            <v>CAPSCREW HEX HD 3/8-16NCX3-1/2</v>
          </cell>
          <cell r="E253" t="str">
            <v>CAPSCREW, HEX HD. 3/8"DIA.-16UNC-2A X 3-1/2" LG. DIMENSIONS TO CONFORM TO ANSI STANDARD B18.2.1;LOW CARBON STEEL, SAE GRADE 2;</v>
          </cell>
          <cell r="F253" t="str">
            <v>AWS VSX Pump</v>
          </cell>
          <cell r="G253" t="str">
            <v>0.0 (Design)</v>
          </cell>
          <cell r="H253" t="str">
            <v>Released-Published</v>
          </cell>
          <cell r="I253" t="str">
            <v>2022-01-22 15:42 EST</v>
          </cell>
          <cell r="J253" t="str">
            <v>2022-01-22 15:42 EST</v>
          </cell>
          <cell r="K253" t="str">
            <v>NA-Not Applicable</v>
          </cell>
          <cell r="L253" t="str">
            <v>No</v>
          </cell>
          <cell r="M253" t="str">
            <v>ECR's: (21211)120106(23024)121111(25769)120618;</v>
          </cell>
        </row>
        <row r="254">
          <cell r="C254" t="str">
            <v>P5002217</v>
          </cell>
          <cell r="D254" t="str">
            <v>SET SCREW, 1/4-20UNC</v>
          </cell>
          <cell r="E254" t="str">
            <v>SET SCREW 1/4-20UNC X 3/8 LG. HEX SOCKET, CUP POINT;300 SERIES STAINLESS STEEL;</v>
          </cell>
          <cell r="F254" t="str">
            <v>AWS VSX Pump</v>
          </cell>
          <cell r="G254" t="str">
            <v>0.0 (Design)</v>
          </cell>
          <cell r="H254" t="str">
            <v>Released-Published</v>
          </cell>
          <cell r="I254" t="str">
            <v>2022-01-22 16:03 EST</v>
          </cell>
          <cell r="J254" t="str">
            <v>2022-01-22 16:03 EST</v>
          </cell>
          <cell r="K254" t="str">
            <v>NA-Not Applicable</v>
          </cell>
          <cell r="L254" t="str">
            <v>No</v>
          </cell>
          <cell r="M254" t="str">
            <v>ECR's: (20841)012606(23024)121111(23031)071112;</v>
          </cell>
        </row>
        <row r="255">
          <cell r="C255" t="str">
            <v>P51230</v>
          </cell>
          <cell r="D255" t="str">
            <v>WASHER IMPELLER 17/32ID</v>
          </cell>
          <cell r="E255" t="str">
            <v>STEEL BAR; B&amp;G #X13200;</v>
          </cell>
          <cell r="F255" t="str">
            <v>AWS MG End Suction Pumps</v>
          </cell>
          <cell r="G255" t="str">
            <v>0.1 (Design)</v>
          </cell>
          <cell r="H255" t="str">
            <v>Released-Published</v>
          </cell>
          <cell r="I255" t="str">
            <v>2022-01-23 01:56 EST</v>
          </cell>
          <cell r="J255" t="str">
            <v>2022-01-22 16:11 EST</v>
          </cell>
          <cell r="K255" t="str">
            <v>NSF</v>
          </cell>
          <cell r="L255" t="str">
            <v>No</v>
          </cell>
          <cell r="M255" t="str">
            <v>ECR's: (19091)052501(23024)121111(23500)101812(24158)121514;</v>
          </cell>
        </row>
        <row r="256">
          <cell r="C256" t="str">
            <v>P51250</v>
          </cell>
          <cell r="D256" t="str">
            <v>WASHER IMP.53IDX1.63OD BRASS</v>
          </cell>
          <cell r="E256" t="str">
            <v>BRASS BAR; B&amp;G #X20400;ALTERNATE APPROVED MATERIALS: JAPANESE STANDARD JIS;H3250 GRADE C3604;</v>
          </cell>
          <cell r="F256" t="str">
            <v>AWS MG End Suction Pumps</v>
          </cell>
          <cell r="G256" t="str">
            <v>0.1 (Design)</v>
          </cell>
          <cell r="H256" t="str">
            <v>Released-Published</v>
          </cell>
          <cell r="I256" t="str">
            <v>2022-01-23 01:56 EST</v>
          </cell>
          <cell r="J256" t="str">
            <v>2022-01-22 16:11 EST</v>
          </cell>
          <cell r="K256" t="str">
            <v>NSF</v>
          </cell>
          <cell r="L256" t="str">
            <v>No</v>
          </cell>
          <cell r="M256" t="str">
            <v>ECR's: (19091)052501(21571)082807(23024)121111(23500)101812(24158)121514;(24613)082015;</v>
          </cell>
        </row>
        <row r="257">
          <cell r="C257" t="str">
            <v>P51750</v>
          </cell>
          <cell r="D257" t="str">
            <v>KEY SHAFT      #3 WOODRUFF</v>
          </cell>
          <cell r="E257" t="str">
            <v>KEY SHAFT STANDARD #3 WOODRUFF 1/8" X 1/2";TYPE 316 STAINLESS STEEL.</v>
          </cell>
          <cell r="F257" t="str">
            <v>AWS MG End Suction Pumps</v>
          </cell>
          <cell r="G257" t="str">
            <v>0.0 (Design)</v>
          </cell>
          <cell r="H257" t="str">
            <v>Released-Published</v>
          </cell>
          <cell r="I257" t="str">
            <v>2022-01-22 15:55 EST</v>
          </cell>
          <cell r="J257" t="str">
            <v>2022-01-22 15:55 EST</v>
          </cell>
          <cell r="K257" t="str">
            <v>NA-Not Applicable</v>
          </cell>
          <cell r="L257" t="str">
            <v>No</v>
          </cell>
          <cell r="M257" t="str">
            <v>ECR's: (23024)121111;</v>
          </cell>
        </row>
        <row r="258">
          <cell r="C258" t="str">
            <v>P52350</v>
          </cell>
          <cell r="D258" t="str">
            <v>CAPSCREW HEX HD 3/8-16NCX1-1/8</v>
          </cell>
          <cell r="E258" t="str">
            <v>CAPSCREW, HEX HD., 3/8" DIA - 16 UNC-2A X 1-1/8";LG., TYPE #304 OR #305 STAINLESS STEEL. DIMENSIONS TO CONFORM TO ANSI STD. B18.2.1.</v>
          </cell>
          <cell r="F258" t="str">
            <v>AWS MG End Suction Pumps</v>
          </cell>
          <cell r="G258" t="str">
            <v>0.0 (Design)</v>
          </cell>
          <cell r="H258" t="str">
            <v>Released-Published</v>
          </cell>
          <cell r="I258" t="str">
            <v>2022-01-22 15:42 EST</v>
          </cell>
          <cell r="J258" t="str">
            <v>2022-01-22 15:42 EST</v>
          </cell>
          <cell r="K258" t="str">
            <v>NA-Not Applicable</v>
          </cell>
          <cell r="L258" t="str">
            <v>No</v>
          </cell>
          <cell r="M258" t="str">
            <v>ECR's: (23024)121111;</v>
          </cell>
        </row>
        <row r="259">
          <cell r="C259" t="str">
            <v>P52380</v>
          </cell>
          <cell r="D259" t="str">
            <v>NUT HX STD     3/8-16UNC-2B</v>
          </cell>
          <cell r="E259" t="str">
            <v>3/8"-16UNC-2B STD. FINISHED TYPE STEEL;ZINC PLATED;</v>
          </cell>
          <cell r="F259" t="str">
            <v>AWS MG End Suction Pumps</v>
          </cell>
          <cell r="G259" t="str">
            <v>0.0 (Design)</v>
          </cell>
          <cell r="H259" t="str">
            <v>Released-Published</v>
          </cell>
          <cell r="I259" t="str">
            <v>2022-01-22 15:59 EST</v>
          </cell>
          <cell r="J259" t="str">
            <v>2022-01-22 15:59 EST</v>
          </cell>
          <cell r="K259" t="str">
            <v>NA-Not Applicable</v>
          </cell>
          <cell r="L259" t="str">
            <v>No</v>
          </cell>
          <cell r="M259" t="str">
            <v>ECR's: (14562)031690(23024)121111;</v>
          </cell>
        </row>
        <row r="260">
          <cell r="C260" t="str">
            <v>P52770</v>
          </cell>
          <cell r="D260" t="str">
            <v>SHIM</v>
          </cell>
          <cell r="E260" t="str">
            <v>STEEL; B&amp;G #X12000;</v>
          </cell>
          <cell r="F260" t="str">
            <v>AWS MG End Suction Pumps</v>
          </cell>
          <cell r="G260" t="str">
            <v>0.2 (Design)</v>
          </cell>
          <cell r="H260" t="str">
            <v>Released-Published</v>
          </cell>
          <cell r="I260" t="str">
            <v>2022-01-23 01:56 EST</v>
          </cell>
          <cell r="J260" t="str">
            <v>2022-01-22 16:05 EST</v>
          </cell>
          <cell r="K260" t="str">
            <v>NA-Not Applicable</v>
          </cell>
          <cell r="L260" t="str">
            <v>No</v>
          </cell>
          <cell r="M260" t="str">
            <v>ECR's: (22640)081610(23024)121111(26354)031020;</v>
          </cell>
        </row>
        <row r="261">
          <cell r="C261" t="str">
            <v>P52780</v>
          </cell>
          <cell r="D261" t="str">
            <v>SHIM</v>
          </cell>
          <cell r="E261" t="str">
            <v>STEEL; B&amp;G #X12000;</v>
          </cell>
          <cell r="F261" t="str">
            <v>AWS MG End Suction Pumps</v>
          </cell>
          <cell r="G261" t="str">
            <v>0.2 (Design)</v>
          </cell>
          <cell r="H261" t="str">
            <v>Released-Published</v>
          </cell>
          <cell r="I261" t="str">
            <v>2022-01-23 01:56 EST</v>
          </cell>
          <cell r="J261" t="str">
            <v>2022-01-22 16:05 EST</v>
          </cell>
          <cell r="K261" t="str">
            <v>NA-Not Applicable</v>
          </cell>
          <cell r="L261" t="str">
            <v>No</v>
          </cell>
          <cell r="M261" t="str">
            <v>ECR's: (22640)081610(23024)121111(26354)031020;</v>
          </cell>
        </row>
        <row r="262">
          <cell r="C262" t="str">
            <v>P52790</v>
          </cell>
          <cell r="D262" t="str">
            <v>SHIM</v>
          </cell>
          <cell r="E262" t="str">
            <v>STEEL; B&amp;G #X11000;</v>
          </cell>
          <cell r="F262" t="str">
            <v>AWS MG End Suction Pumps</v>
          </cell>
          <cell r="G262" t="str">
            <v>0.2 (Design)</v>
          </cell>
          <cell r="H262" t="str">
            <v>Released-Published</v>
          </cell>
          <cell r="I262" t="str">
            <v>2022-01-23 01:56 EST</v>
          </cell>
          <cell r="J262" t="str">
            <v>2022-01-22 16:05 EST</v>
          </cell>
          <cell r="K262" t="str">
            <v>NA-Not Applicable</v>
          </cell>
          <cell r="L262" t="str">
            <v>No</v>
          </cell>
          <cell r="M262" t="str">
            <v>ECR's: (22640)081610(23024)121111(26354)031020;</v>
          </cell>
        </row>
        <row r="263">
          <cell r="C263" t="str">
            <v>P52800</v>
          </cell>
          <cell r="D263" t="str">
            <v>SHIM</v>
          </cell>
          <cell r="E263" t="str">
            <v>STEEL; B&amp;G #X11100;</v>
          </cell>
          <cell r="F263" t="str">
            <v>AWS MG End Suction Pumps</v>
          </cell>
          <cell r="G263" t="str">
            <v>0.2 (Design)</v>
          </cell>
          <cell r="H263" t="str">
            <v>Released-Published</v>
          </cell>
          <cell r="I263" t="str">
            <v>2022-01-23 01:56 EST</v>
          </cell>
          <cell r="J263" t="str">
            <v>2022-01-22 16:05 EST</v>
          </cell>
          <cell r="K263" t="str">
            <v>NA-Not Applicable</v>
          </cell>
          <cell r="L263" t="str">
            <v>No</v>
          </cell>
          <cell r="M263" t="str">
            <v>ECR's: (22640)081610(23024)121111(26354)031020;</v>
          </cell>
        </row>
        <row r="264">
          <cell r="C264" t="str">
            <v>P52801</v>
          </cell>
          <cell r="D264" t="str">
            <v>SHIM, RISER</v>
          </cell>
          <cell r="E264" t="str">
            <v>STEEL, P52801FAB;</v>
          </cell>
          <cell r="F264" t="str">
            <v>AWS MG End Suction Pumps</v>
          </cell>
          <cell r="G264" t="str">
            <v>0.2 (Design)</v>
          </cell>
          <cell r="H264" t="str">
            <v>Released-Published</v>
          </cell>
          <cell r="I264" t="str">
            <v>2022-01-23 01:56 EST</v>
          </cell>
          <cell r="J264" t="str">
            <v>2022-01-22 16:05 EST</v>
          </cell>
          <cell r="K264" t="str">
            <v>NA-Not Applicable</v>
          </cell>
          <cell r="L264" t="str">
            <v>No</v>
          </cell>
          <cell r="M264" t="str">
            <v>ECR's: (14640)051590(21028)072706(21247)071307(22679)092310(23024)121111;(26354)031020;</v>
          </cell>
        </row>
        <row r="265">
          <cell r="C265" t="str">
            <v>P54160</v>
          </cell>
          <cell r="D265" t="str">
            <v>SHIM</v>
          </cell>
          <cell r="E265" t="str">
            <v>STEEL B&amp;G #X12000;</v>
          </cell>
          <cell r="F265" t="str">
            <v>AWS MG End Suction Pumps</v>
          </cell>
          <cell r="G265" t="str">
            <v>0.2 (Design)</v>
          </cell>
          <cell r="H265" t="str">
            <v>Released-Published</v>
          </cell>
          <cell r="I265" t="str">
            <v>2022-01-23 01:56 EST</v>
          </cell>
          <cell r="J265" t="str">
            <v>2022-01-22 16:05 EST</v>
          </cell>
          <cell r="K265" t="str">
            <v>NA-Not Applicable</v>
          </cell>
          <cell r="L265" t="str">
            <v>No</v>
          </cell>
          <cell r="M265" t="str">
            <v>ECR's: (22640)081610(23024)121111(26354)031020;</v>
          </cell>
        </row>
        <row r="266">
          <cell r="C266" t="str">
            <v>P54170</v>
          </cell>
          <cell r="D266" t="str">
            <v>SHIM</v>
          </cell>
          <cell r="E266" t="str">
            <v>STEEL B&amp;G #X12000;</v>
          </cell>
          <cell r="F266" t="str">
            <v>AWS MG End Suction Pumps</v>
          </cell>
          <cell r="G266" t="str">
            <v>0.2 (Design)</v>
          </cell>
          <cell r="H266" t="str">
            <v>Released-Published</v>
          </cell>
          <cell r="I266" t="str">
            <v>2022-01-23 01:56 EST</v>
          </cell>
          <cell r="J266" t="str">
            <v>2022-01-22 16:05 EST</v>
          </cell>
          <cell r="K266" t="str">
            <v>NA-Not Applicable</v>
          </cell>
          <cell r="L266" t="str">
            <v>No</v>
          </cell>
          <cell r="M266" t="str">
            <v>ECR's: (22640)081610(23024)121111(26354)031020;</v>
          </cell>
        </row>
        <row r="267">
          <cell r="C267" t="str">
            <v>P54180</v>
          </cell>
          <cell r="D267" t="str">
            <v>SHIM</v>
          </cell>
          <cell r="E267" t="str">
            <v>STEEL B&amp;G #X11100;</v>
          </cell>
          <cell r="F267" t="str">
            <v>AWS MG End Suction Pumps</v>
          </cell>
          <cell r="G267" t="str">
            <v>0.2 (Design)</v>
          </cell>
          <cell r="H267" t="str">
            <v>Released-Published</v>
          </cell>
          <cell r="I267" t="str">
            <v>2022-01-23 01:56 EST</v>
          </cell>
          <cell r="J267" t="str">
            <v>2022-01-22 16:05 EST</v>
          </cell>
          <cell r="K267" t="str">
            <v>NA-Not Applicable</v>
          </cell>
          <cell r="L267" t="str">
            <v>No</v>
          </cell>
          <cell r="M267" t="str">
            <v>ECR's: (22640)081610(23024)121111(26354)031020;</v>
          </cell>
        </row>
        <row r="268">
          <cell r="C268" t="str">
            <v>P54190</v>
          </cell>
          <cell r="D268" t="str">
            <v>SHIM</v>
          </cell>
          <cell r="E268" t="str">
            <v>STEEL B&amp;G #X11100;</v>
          </cell>
          <cell r="F268" t="str">
            <v>AWS MG End Suction Pumps</v>
          </cell>
          <cell r="G268" t="str">
            <v>0.2 (Design)</v>
          </cell>
          <cell r="H268" t="str">
            <v>Released-Published</v>
          </cell>
          <cell r="I268" t="str">
            <v>2022-01-23 01:56 EST</v>
          </cell>
          <cell r="J268" t="str">
            <v>2022-01-22 16:05 EST</v>
          </cell>
          <cell r="K268" t="str">
            <v>NA-Not Applicable</v>
          </cell>
          <cell r="L268" t="str">
            <v>No</v>
          </cell>
          <cell r="M268" t="str">
            <v>ECR's: (22640)081610(23024)121111(26354)031020;</v>
          </cell>
        </row>
        <row r="269">
          <cell r="C269" t="str">
            <v>P54700</v>
          </cell>
          <cell r="D269" t="str">
            <v>CAPSCREW HEX HD7/16-14NCX1-1/4</v>
          </cell>
          <cell r="E269" t="str">
            <v>CAPSCREW, HEX. HEAD 7/16" DIA;14 UNC- 2A X 1-1/4" LG. STEEL;DIMENSIONS TO CONFORM TO ANSI STANDARD B18.2.1;LOW CARBON STEEL,SAE GRADE 2.</v>
          </cell>
          <cell r="F269" t="str">
            <v>AWS MG End Suction Pumps</v>
          </cell>
          <cell r="G269" t="str">
            <v>0.0 (Design)</v>
          </cell>
          <cell r="H269" t="str">
            <v>Released-Published</v>
          </cell>
          <cell r="I269" t="str">
            <v>2022-01-22 15:42 EST</v>
          </cell>
          <cell r="J269" t="str">
            <v>2022-01-22 15:42 EST</v>
          </cell>
          <cell r="K269" t="str">
            <v>NA-Not Applicable</v>
          </cell>
          <cell r="L269" t="str">
            <v>No</v>
          </cell>
          <cell r="M269" t="str">
            <v>ECR's: (23024)121111;</v>
          </cell>
        </row>
        <row r="270">
          <cell r="C270" t="str">
            <v>P57000</v>
          </cell>
          <cell r="D270" t="str">
            <v>GASKET IMP SCR</v>
          </cell>
          <cell r="E270" t="str">
            <v>GASKET, IMPELLER CAPSC'R RING TYPE DISIGN, .390" +/- .010" I.D. X 9/16" O.D. X 1/16" THK. (10MM SPARK PLUG DIM.) SOLID COPPER WASHER; BRIGHT ANNEALED TO DEAD SOFT;</v>
          </cell>
          <cell r="F270" t="str">
            <v>AWS MG Circulator Pumps</v>
          </cell>
          <cell r="G270" t="str">
            <v>0.1 (Design)</v>
          </cell>
          <cell r="H270" t="str">
            <v>Released-Published</v>
          </cell>
          <cell r="I270" t="str">
            <v>2022-01-23 01:56 EST</v>
          </cell>
          <cell r="J270" t="str">
            <v>2022-01-22 15:48 EST</v>
          </cell>
          <cell r="K270" t="str">
            <v>NA-Not Applicable</v>
          </cell>
          <cell r="L270" t="str">
            <v>Yes</v>
          </cell>
          <cell r="M270" t="str">
            <v>ECR's: (23024)121111; ESV: 1) FELT PRODUCTS CO.</v>
          </cell>
        </row>
        <row r="271">
          <cell r="C271" t="str">
            <v>P59570</v>
          </cell>
          <cell r="D271" t="str">
            <v>NUT HEX LGT    7/16-20UNF-2B</v>
          </cell>
          <cell r="E271" t="str">
            <v>NUT, HEXAGON; 7/16" - 20 UNF-2B AMERICAN STANDARD;LIGHT SEMI-FINISHED - STAINLESS STEEL TYPE #316;</v>
          </cell>
          <cell r="F271" t="str">
            <v>AWS MG End Suction Pumps</v>
          </cell>
          <cell r="G271" t="str">
            <v>0.0 (Design)</v>
          </cell>
          <cell r="H271" t="str">
            <v>Released-Published</v>
          </cell>
          <cell r="I271" t="str">
            <v>2022-01-22 15:59 EST</v>
          </cell>
          <cell r="J271" t="str">
            <v>2022-01-22 15:59 EST</v>
          </cell>
          <cell r="K271" t="str">
            <v>NA-Not Applicable</v>
          </cell>
          <cell r="L271" t="str">
            <v>No</v>
          </cell>
          <cell r="M271" t="str">
            <v>ECR's: (23024)121111;</v>
          </cell>
        </row>
        <row r="272">
          <cell r="C272" t="str">
            <v>P64901</v>
          </cell>
          <cell r="D272" t="str">
            <v>FASTENER PKG ASM</v>
          </cell>
          <cell r="F272" t="str">
            <v>AWS MG Production Drawings</v>
          </cell>
          <cell r="G272" t="str">
            <v>0.4 (Design)</v>
          </cell>
          <cell r="H272" t="str">
            <v>Released-Published</v>
          </cell>
          <cell r="I272" t="str">
            <v>2022-01-22 19:07 EST</v>
          </cell>
          <cell r="J272" t="str">
            <v>2022-01-22 15:47 EST</v>
          </cell>
          <cell r="K272" t="str">
            <v>NA-Not Applicable</v>
          </cell>
          <cell r="L272" t="str">
            <v>No</v>
          </cell>
          <cell r="M272" t="str">
            <v>ECR's: (18163)061499(23024)121111;</v>
          </cell>
        </row>
        <row r="273">
          <cell r="C273" t="str">
            <v>P64902</v>
          </cell>
          <cell r="D273" t="str">
            <v>FASTENER PKG ASM</v>
          </cell>
          <cell r="F273" t="str">
            <v>AWS MG Production Drawings</v>
          </cell>
          <cell r="G273" t="str">
            <v>0.4 (Design)</v>
          </cell>
          <cell r="H273" t="str">
            <v>Released-Published</v>
          </cell>
          <cell r="I273" t="str">
            <v>2022-01-22 19:07 EST</v>
          </cell>
          <cell r="J273" t="str">
            <v>2022-01-22 15:47 EST</v>
          </cell>
          <cell r="K273" t="str">
            <v>NA-Not Applicable</v>
          </cell>
          <cell r="L273" t="str">
            <v>No</v>
          </cell>
          <cell r="M273" t="str">
            <v>ECR's: (18163)061499(23061)110311(23024)121111;</v>
          </cell>
        </row>
        <row r="274">
          <cell r="C274" t="str">
            <v>P64910</v>
          </cell>
          <cell r="D274" t="str">
            <v>FSTR PKG ASM</v>
          </cell>
          <cell r="E274" t="str">
            <v>(FOR #100 IRON BODY BOOSTER PUMP);</v>
          </cell>
          <cell r="F274" t="str">
            <v>AWS MG Production Drawings</v>
          </cell>
          <cell r="G274" t="str">
            <v>0.5 (Design)</v>
          </cell>
          <cell r="H274" t="str">
            <v>Released-Published</v>
          </cell>
          <cell r="I274" t="str">
            <v>2022-01-22 18:16 EST</v>
          </cell>
          <cell r="J274" t="str">
            <v>2022-01-22 15:48 EST</v>
          </cell>
          <cell r="K274" t="str">
            <v>NA-Not Applicable</v>
          </cell>
          <cell r="L274" t="str">
            <v>No</v>
          </cell>
          <cell r="M274" t="str">
            <v>ECR's: (P0005)070291(23024)121111;</v>
          </cell>
        </row>
        <row r="275">
          <cell r="C275" t="str">
            <v>P64930</v>
          </cell>
          <cell r="D275" t="str">
            <v>FSTR PKG ASM</v>
          </cell>
          <cell r="E275" t="str">
            <v>FOR BOOSTERS;</v>
          </cell>
          <cell r="F275" t="str">
            <v>AWS MG Production Drawings</v>
          </cell>
          <cell r="G275" t="str">
            <v>0.5 (Design)</v>
          </cell>
          <cell r="H275" t="str">
            <v>Released-Published</v>
          </cell>
          <cell r="I275" t="str">
            <v>2022-01-22 18:16 EST</v>
          </cell>
          <cell r="J275" t="str">
            <v>2022-01-22 15:48 EST</v>
          </cell>
          <cell r="K275" t="str">
            <v>NA-Not Applicable</v>
          </cell>
          <cell r="L275" t="str">
            <v>No</v>
          </cell>
          <cell r="M275" t="str">
            <v>ECR's: (23024)121111;</v>
          </cell>
        </row>
        <row r="276">
          <cell r="C276" t="str">
            <v>P64940</v>
          </cell>
          <cell r="D276" t="str">
            <v>FSTR PKG ASM</v>
          </cell>
          <cell r="E276" t="str">
            <v>FOR BOOSTERS;</v>
          </cell>
          <cell r="F276" t="str">
            <v>AWS MG Production Drawings</v>
          </cell>
          <cell r="G276" t="str">
            <v>0.5 (Design)</v>
          </cell>
          <cell r="H276" t="str">
            <v>Released-Published</v>
          </cell>
          <cell r="I276" t="str">
            <v>2022-01-22 18:16 EST</v>
          </cell>
          <cell r="J276" t="str">
            <v>2022-01-22 15:48 EST</v>
          </cell>
          <cell r="K276" t="str">
            <v>NA-Not Applicable</v>
          </cell>
          <cell r="L276" t="str">
            <v>No</v>
          </cell>
          <cell r="M276" t="str">
            <v>ECR's: (23024)121111;</v>
          </cell>
        </row>
        <row r="277">
          <cell r="C277" t="str">
            <v>P65030</v>
          </cell>
          <cell r="D277" t="str">
            <v>FSTR PKG ASM</v>
          </cell>
          <cell r="E277" t="str">
            <v>(FOR SERIES "60" PUMPS);</v>
          </cell>
          <cell r="F277" t="str">
            <v>AWS MG Production Drawings</v>
          </cell>
          <cell r="G277" t="str">
            <v>0.5 (Design)</v>
          </cell>
          <cell r="H277" t="str">
            <v>Released-Published</v>
          </cell>
          <cell r="I277" t="str">
            <v>2022-01-22 18:16 EST</v>
          </cell>
          <cell r="J277" t="str">
            <v>2022-01-22 15:48 EST</v>
          </cell>
          <cell r="K277" t="str">
            <v>NA-Not Applicable</v>
          </cell>
          <cell r="L277" t="str">
            <v>No</v>
          </cell>
          <cell r="M277" t="str">
            <v>ECR's: (P0005)070291(23024)121111;</v>
          </cell>
        </row>
        <row r="278">
          <cell r="C278" t="str">
            <v>P65031</v>
          </cell>
          <cell r="D278" t="str">
            <v>FSTR PKG ASM</v>
          </cell>
          <cell r="E278" t="str">
            <v>(FOR SERIES "60" PUMPS);BOOSTER 2",2A/2AA &amp; SER 90.</v>
          </cell>
          <cell r="F278" t="str">
            <v>AWS MG Production Drawings</v>
          </cell>
          <cell r="G278" t="str">
            <v>0.5 (Design)</v>
          </cell>
          <cell r="H278" t="str">
            <v>Released-Published</v>
          </cell>
          <cell r="I278" t="str">
            <v>2022-01-22 19:29 EST</v>
          </cell>
          <cell r="J278" t="str">
            <v>2022-01-22 15:48 EST</v>
          </cell>
          <cell r="K278" t="str">
            <v>NA-Not Applicable</v>
          </cell>
          <cell r="L278" t="str">
            <v>No</v>
          </cell>
          <cell r="M278" t="str">
            <v>ECR's: (17045)062196(23024)121111;</v>
          </cell>
        </row>
        <row r="279">
          <cell r="C279" t="str">
            <v>P65128</v>
          </cell>
          <cell r="D279" t="str">
            <v>FASTENER PKG ASM</v>
          </cell>
          <cell r="F279" t="str">
            <v>AWS MG Production Drawings</v>
          </cell>
          <cell r="G279" t="str">
            <v>0.6 (Design)</v>
          </cell>
          <cell r="H279" t="str">
            <v>Released-Published</v>
          </cell>
          <cell r="I279" t="str">
            <v>2022-01-22 19:51 EST</v>
          </cell>
          <cell r="J279" t="str">
            <v>2022-01-22 15:47 EST</v>
          </cell>
          <cell r="K279" t="str">
            <v>NA-Not Applicable</v>
          </cell>
          <cell r="L279" t="str">
            <v>No</v>
          </cell>
          <cell r="M279" t="str">
            <v>ECR's: (16409)091494(23024)121111;</v>
          </cell>
        </row>
        <row r="280">
          <cell r="C280" t="str">
            <v>P65130</v>
          </cell>
          <cell r="D280" t="str">
            <v>FASTENER PKG ASM</v>
          </cell>
          <cell r="E280" t="str">
            <v>FOR BOOSTERS, CIRCULATOR PUMPS.</v>
          </cell>
          <cell r="F280" t="str">
            <v>AWS MG Production Drawings</v>
          </cell>
          <cell r="G280" t="str">
            <v>0.4 (Design)</v>
          </cell>
          <cell r="H280" t="str">
            <v>Released-Published</v>
          </cell>
          <cell r="I280" t="str">
            <v>2022-01-22 19:07 EST</v>
          </cell>
          <cell r="J280" t="str">
            <v>2022-01-22 15:47 EST</v>
          </cell>
          <cell r="K280" t="str">
            <v>NA-Not Applicable</v>
          </cell>
          <cell r="L280" t="str">
            <v>No</v>
          </cell>
          <cell r="M280" t="str">
            <v>ECR's: (16409)091494(23024)121111;</v>
          </cell>
        </row>
        <row r="281">
          <cell r="C281" t="str">
            <v>P70614</v>
          </cell>
          <cell r="D281" t="str">
            <v>FITTING,GREASE</v>
          </cell>
          <cell r="E281" t="str">
            <v>GREASE FITTING;STRAIGHT DRIVE TYPE FOR 3/16" DIA. HOLE;(3/16 STR X .215 SHANK X .50"OA W/BALL RD DRIVE FITTING STL ZP ROHS);</v>
          </cell>
          <cell r="F281" t="str">
            <v>AWS MG Production Drawings</v>
          </cell>
          <cell r="G281" t="str">
            <v>0.1 (Design)</v>
          </cell>
          <cell r="H281" t="str">
            <v>Released-Published</v>
          </cell>
          <cell r="I281" t="str">
            <v>2022-04-28 22:52 EDT</v>
          </cell>
          <cell r="J281" t="str">
            <v>2022-01-22 15:47 EST</v>
          </cell>
          <cell r="K281" t="str">
            <v>NA-Not Applicable</v>
          </cell>
          <cell r="L281" t="str">
            <v>Yes</v>
          </cell>
          <cell r="M281" t="str">
            <v>ECR's: (23024)121111(26552)093020(26989)032522; ESV: 1) GF&amp;D --- PN:221728;     2) LINCOLN --- PN:5033;</v>
          </cell>
        </row>
        <row r="282">
          <cell r="C282" t="str">
            <v>P70642</v>
          </cell>
          <cell r="D282" t="str">
            <v>DECAL,WARNING  ROTATING COMP.</v>
          </cell>
          <cell r="E282" t="str">
            <v>SEE DRAWING;</v>
          </cell>
          <cell r="F282" t="str">
            <v>AWS MG End Suction Pumps</v>
          </cell>
          <cell r="G282" t="str">
            <v>0.1 (Design)</v>
          </cell>
          <cell r="H282" t="str">
            <v>Released-Published</v>
          </cell>
          <cell r="I282" t="str">
            <v>2022-01-23 02:11 EST</v>
          </cell>
          <cell r="J282" t="str">
            <v>2022-01-22 15:45 EST</v>
          </cell>
          <cell r="K282" t="str">
            <v>NA-Not Applicable</v>
          </cell>
          <cell r="L282" t="str">
            <v>Yes</v>
          </cell>
          <cell r="M282" t="str">
            <v>ECR's: (14894)011491(20841)021506(23024)121111(24983)052016(26589)030521;(26521)070721; ESV: 1) ANDREWS DECAL CO.--- FLEXMARK V-400-FW, V-156 ADH 50K/Q-8;</v>
          </cell>
        </row>
        <row r="283">
          <cell r="C283" t="str">
            <v>P70643</v>
          </cell>
          <cell r="D283" t="str">
            <v>DECAL,WARNING  LIFTING INSTR</v>
          </cell>
          <cell r="E283" t="str">
            <v>SEE DRAWING;</v>
          </cell>
          <cell r="F283" t="str">
            <v>AWS MG End Suction Pumps</v>
          </cell>
          <cell r="G283" t="str">
            <v>0.1 (Design)</v>
          </cell>
          <cell r="H283" t="str">
            <v>Released-Published</v>
          </cell>
          <cell r="I283" t="str">
            <v>2022-01-23 02:11 EST</v>
          </cell>
          <cell r="J283" t="str">
            <v>2022-01-22 15:45 EST</v>
          </cell>
          <cell r="K283" t="str">
            <v>NA-Not Applicable</v>
          </cell>
          <cell r="L283" t="str">
            <v>No</v>
          </cell>
          <cell r="M283" t="str">
            <v>ECR's: (23024)121111(26589)030521(26521)070721;</v>
          </cell>
        </row>
        <row r="284">
          <cell r="C284" t="str">
            <v>P70644</v>
          </cell>
          <cell r="D284" t="str">
            <v>DECAL,CAUTION  SEAL INSPECT.</v>
          </cell>
          <cell r="E284" t="str">
            <v>SEE DRAWING;</v>
          </cell>
          <cell r="F284" t="str">
            <v>AWS MG End Suction Pumps</v>
          </cell>
          <cell r="G284" t="str">
            <v>0.1 (Design)</v>
          </cell>
          <cell r="H284" t="str">
            <v>Released-Published</v>
          </cell>
          <cell r="I284" t="str">
            <v>2022-01-23 02:11 EST</v>
          </cell>
          <cell r="J284" t="str">
            <v>2022-01-22 15:45 EST</v>
          </cell>
          <cell r="K284" t="str">
            <v>NA-Not Applicable</v>
          </cell>
          <cell r="L284" t="str">
            <v>No</v>
          </cell>
          <cell r="M284" t="str">
            <v>ECR's: (23024)121111(26589)030521(26679)050321(26521)070721;</v>
          </cell>
        </row>
        <row r="285">
          <cell r="C285" t="str">
            <v>P70820</v>
          </cell>
          <cell r="D285" t="str">
            <v>DECAL,ALIGNMENT</v>
          </cell>
          <cell r="E285" t="str">
            <v>SEE DRAWING;</v>
          </cell>
          <cell r="F285" t="str">
            <v>AWS MG End Suction Pumps</v>
          </cell>
          <cell r="G285" t="str">
            <v>0.1 (Design)</v>
          </cell>
          <cell r="H285" t="str">
            <v>Released-Published</v>
          </cell>
          <cell r="I285" t="str">
            <v>2022-01-23 02:11 EST</v>
          </cell>
          <cell r="J285" t="str">
            <v>2022-01-22 15:45 EST</v>
          </cell>
          <cell r="K285" t="str">
            <v>NA-Not Applicable</v>
          </cell>
          <cell r="L285" t="str">
            <v>No</v>
          </cell>
          <cell r="M285" t="str">
            <v>ECR's: (18053)031299(23024)121111(26589)030521(26521)070721;</v>
          </cell>
        </row>
        <row r="286">
          <cell r="C286" t="str">
            <v>P70821</v>
          </cell>
          <cell r="D286" t="str">
            <v>INSERT SHEET,WARNING</v>
          </cell>
          <cell r="E286" t="str">
            <v>LITERATURE, WARNING INSERT SHEET;MATERIAL: BOND PAPER, ANSI ORANGE;</v>
          </cell>
          <cell r="F286" t="str">
            <v>AWS MG End Suction Pumps</v>
          </cell>
          <cell r="G286" t="str">
            <v>0.1 (Design)</v>
          </cell>
          <cell r="H286" t="str">
            <v>Released-Published</v>
          </cell>
          <cell r="I286" t="str">
            <v>2022-01-23 02:11 EST</v>
          </cell>
          <cell r="J286" t="str">
            <v>2022-01-22 15:55 EST</v>
          </cell>
          <cell r="K286" t="str">
            <v>NA-Not Applicable</v>
          </cell>
          <cell r="L286" t="str">
            <v>No</v>
          </cell>
          <cell r="M286" t="str">
            <v>ECR's: (18053)031299(19602)060602(23024)121111(26322)052720(26521)070721;</v>
          </cell>
        </row>
        <row r="287">
          <cell r="C287" t="str">
            <v>P71386</v>
          </cell>
          <cell r="D287" t="str">
            <v>SET SCREW</v>
          </cell>
          <cell r="E287" t="str">
            <v>SET SCREW #8-36UNC X .188" LONG, ALLOY STEEL;SOCKET HEAD SET SCREWS;HOLO-KNURL POINT;</v>
          </cell>
          <cell r="F287" t="str">
            <v>AWS MG Production Drawings</v>
          </cell>
          <cell r="G287" t="str">
            <v>0.0 (Design)</v>
          </cell>
          <cell r="H287" t="str">
            <v>Released-Published</v>
          </cell>
          <cell r="I287" t="str">
            <v>2022-01-22 16:04 EST</v>
          </cell>
          <cell r="J287" t="str">
            <v>2022-01-22 16:04 EST</v>
          </cell>
          <cell r="K287" t="str">
            <v>NA-Not Applicable</v>
          </cell>
          <cell r="L287" t="str">
            <v>Yes</v>
          </cell>
          <cell r="M287" t="str">
            <v>ECR's: (N1355D)051402(N1355Q)101702(20010)120203(23024)121111; ESV: MFG. HOLO-KROME COMPANY;</v>
          </cell>
        </row>
        <row r="288">
          <cell r="C288" t="str">
            <v>P71388</v>
          </cell>
          <cell r="D288" t="str">
            <v>SET SCREW .25-28UNF X .25"LG.</v>
          </cell>
          <cell r="E288" t="str">
            <v>SET SCREW .25-28UNF X .25" LONG, ALLOY STEEL;SOCKET HEAD SET SCREWS;HOLO-KNURL POINT;</v>
          </cell>
          <cell r="F288" t="str">
            <v>AWS MG Production Drawings</v>
          </cell>
          <cell r="G288" t="str">
            <v>0.0 (Design)</v>
          </cell>
          <cell r="H288" t="str">
            <v>Released-Published</v>
          </cell>
          <cell r="I288" t="str">
            <v>2022-01-22 16:04 EST</v>
          </cell>
          <cell r="J288" t="str">
            <v>2022-01-22 16:04 EST</v>
          </cell>
          <cell r="K288" t="str">
            <v>NA-Not Applicable</v>
          </cell>
          <cell r="L288" t="str">
            <v>Yes</v>
          </cell>
          <cell r="M288" t="str">
            <v>ECR's: (N1355D)051402(N1355Q)101802(23024)121111; ESV: MFG. HOLO-KROME COMPANY;</v>
          </cell>
        </row>
        <row r="289">
          <cell r="C289" t="str">
            <v>P75182</v>
          </cell>
          <cell r="D289" t="str">
            <v>KEY SHAFT</v>
          </cell>
          <cell r="E289" t="str">
            <v>KEY, SHAFT; 0.25" SQUARE BY 0.94" LONG. CARBON STEEL KEY STOCK, COLD DRAWN, ASTM A108 GR. C1018.</v>
          </cell>
          <cell r="F289" t="str">
            <v>AWS MG In-Line Pumps</v>
          </cell>
          <cell r="G289" t="str">
            <v>0.0 (Design)</v>
          </cell>
          <cell r="H289" t="str">
            <v>Released-Published</v>
          </cell>
          <cell r="I289" t="str">
            <v>2022-01-22 15:55 EST</v>
          </cell>
          <cell r="J289" t="str">
            <v>2022-01-22 15:55 EST</v>
          </cell>
          <cell r="K289" t="str">
            <v>NA-Not Applicable</v>
          </cell>
          <cell r="L289" t="str">
            <v>No</v>
          </cell>
          <cell r="M289" t="str">
            <v>ECR's: (N1355G)061202(N1355O)091902(N1355Q)101702(23024)121111;</v>
          </cell>
        </row>
        <row r="290">
          <cell r="C290" t="str">
            <v>P75183</v>
          </cell>
          <cell r="D290" t="str">
            <v>KEY SHAFT</v>
          </cell>
          <cell r="E290" t="str">
            <v>KEY, SHAFT; 0.375" SQUARE BY 1.31" LONG. CARBON STEEL KEY STOCK, COLD DRAWN, ASTM A108 GR. C1018.</v>
          </cell>
          <cell r="F290" t="str">
            <v>AWS MG In-Line Pumps</v>
          </cell>
          <cell r="G290" t="str">
            <v>0.0 (Design)</v>
          </cell>
          <cell r="H290" t="str">
            <v>Released-Published</v>
          </cell>
          <cell r="I290" t="str">
            <v>2022-01-22 15:55 EST</v>
          </cell>
          <cell r="J290" t="str">
            <v>2022-01-22 15:55 EST</v>
          </cell>
          <cell r="K290" t="str">
            <v>NA-Not Applicable</v>
          </cell>
          <cell r="L290" t="str">
            <v>No</v>
          </cell>
          <cell r="M290" t="str">
            <v>ECR's: (N1355G)061202(N1355Q)101802(23024)121111;</v>
          </cell>
        </row>
        <row r="291">
          <cell r="C291" t="str">
            <v>P75190</v>
          </cell>
          <cell r="D291" t="str">
            <v>KEY SHAFT 254-256TC SER 80SC</v>
          </cell>
          <cell r="E291" t="str">
            <v>KEY, SHAFT; 0.375" SQUARE BY 2.25" LONG. KEY FOR MOTOR SHAFT 254 - 256TC FOR SERIES 80SC. CARBON STEEL KEY STOCK, COLD DRAWN, ASTM A108 GR. C1018.</v>
          </cell>
          <cell r="F291" t="str">
            <v>AWS MG In-Line Pumps</v>
          </cell>
          <cell r="G291" t="str">
            <v>0.0 (Design)</v>
          </cell>
          <cell r="H291" t="str">
            <v>Released-Published</v>
          </cell>
          <cell r="I291" t="str">
            <v>2022-01-22 15:55 EST</v>
          </cell>
          <cell r="J291" t="str">
            <v>2022-01-22 15:55 EST</v>
          </cell>
          <cell r="K291" t="str">
            <v>NA-Not Applicable</v>
          </cell>
          <cell r="L291" t="str">
            <v>No</v>
          </cell>
          <cell r="M291" t="str">
            <v>ECR's: (N1355H)062402(N1355Q)101802(23024)121111;</v>
          </cell>
        </row>
        <row r="292">
          <cell r="C292" t="str">
            <v>P75192</v>
          </cell>
          <cell r="D292" t="str">
            <v>KEY SHAFT 324-365TSC SER 80SC</v>
          </cell>
          <cell r="E292" t="str">
            <v>KEY, SHAFT; 0.50" SQUARE BY 1.25" LONG. KEY FOR MOTOR SHAFT 324 - 365TC FOR SERIES 80SC. CARBON STEEL KEY STOCK, COLD DRAWN, ASTM A108 GR. C1018.</v>
          </cell>
          <cell r="F292" t="str">
            <v>AWS MG In-Line Pumps</v>
          </cell>
          <cell r="G292" t="str">
            <v>0.0 (Design)</v>
          </cell>
          <cell r="H292" t="str">
            <v>Released-Published</v>
          </cell>
          <cell r="I292" t="str">
            <v>2022-01-22 15:55 EST</v>
          </cell>
          <cell r="J292" t="str">
            <v>2022-01-22 15:55 EST</v>
          </cell>
          <cell r="K292" t="str">
            <v>NA-Not Applicable</v>
          </cell>
          <cell r="L292" t="str">
            <v>No</v>
          </cell>
          <cell r="M292" t="str">
            <v>ECR's: (N1355H)062402(N1355Q)101802(23024)121111;</v>
          </cell>
        </row>
        <row r="293">
          <cell r="C293" t="str">
            <v>P75206</v>
          </cell>
          <cell r="D293" t="str">
            <v>CAPSCREW HEX HD5/16-18NCX2.75"</v>
          </cell>
          <cell r="E293" t="str">
            <v>CAPSCREW, HEX HD 5/16" DIA 18 UNC 2A X 2.75" LG. DIMENSIONS TO CONFORM TO ANSI STANDARD B18.2.1;LOW CARBON STEEL, SAE GRADE 2,ZINC PLATED.</v>
          </cell>
          <cell r="F293" t="str">
            <v>AWS MG Production Drawings</v>
          </cell>
          <cell r="G293" t="str">
            <v>0.0 (Design)</v>
          </cell>
          <cell r="H293" t="str">
            <v>Released-Published</v>
          </cell>
          <cell r="I293" t="str">
            <v>2022-01-22 15:42 EST</v>
          </cell>
          <cell r="J293" t="str">
            <v>2022-01-22 15:42 EST</v>
          </cell>
          <cell r="K293" t="str">
            <v>NA-Not Applicable</v>
          </cell>
          <cell r="L293" t="str">
            <v>No</v>
          </cell>
          <cell r="M293" t="str">
            <v>ECR's: (N1355L)082602(N1355Q)101802(23024)121111;</v>
          </cell>
        </row>
        <row r="294">
          <cell r="C294" t="str">
            <v>P75207</v>
          </cell>
          <cell r="D294" t="str">
            <v>CAPSCREW HEX HD5/16-18NCX3"</v>
          </cell>
          <cell r="E294" t="str">
            <v>CAPSCREW, HEX HD 5/16" DIA 18 UNC 2A X 3" LG. DIMENSIONS TO CONFORM TO ANSI STANDARD B18.2.1;LOW CARBON STEEL, SAE GRADE 2,ZINC PLATED.</v>
          </cell>
          <cell r="F294" t="str">
            <v>AWS MG Production Drawings</v>
          </cell>
          <cell r="G294" t="str">
            <v>0.0 (Design)</v>
          </cell>
          <cell r="H294" t="str">
            <v>Released-Published</v>
          </cell>
          <cell r="I294" t="str">
            <v>2022-01-22 15:42 EST</v>
          </cell>
          <cell r="J294" t="str">
            <v>2022-01-22 15:42 EST</v>
          </cell>
          <cell r="K294" t="str">
            <v>NA-Not Applicable</v>
          </cell>
          <cell r="L294" t="str">
            <v>No</v>
          </cell>
          <cell r="M294" t="str">
            <v>ECR's: (N1355L)082602(N1355Q)101802(23024)121111;</v>
          </cell>
        </row>
        <row r="295">
          <cell r="C295" t="str">
            <v>P75218</v>
          </cell>
          <cell r="D295" t="str">
            <v>SNAP RING      1.25" SHAFT</v>
          </cell>
          <cell r="E295" t="str">
            <v>SNAP RING EXTERNAL TYPE, 1.25" SHAFT;DIA. 302 ST. STL.</v>
          </cell>
          <cell r="F295" t="str">
            <v>AWS MG In-Line Pumps</v>
          </cell>
          <cell r="G295" t="str">
            <v>0.0 (Design)</v>
          </cell>
          <cell r="H295" t="str">
            <v>Released-Published</v>
          </cell>
          <cell r="I295" t="str">
            <v>2022-01-22 16:05 EST</v>
          </cell>
          <cell r="J295" t="str">
            <v>2022-01-22 16:05 EST</v>
          </cell>
          <cell r="K295" t="str">
            <v>NA-Not Applicable</v>
          </cell>
          <cell r="L295" t="str">
            <v>Yes</v>
          </cell>
          <cell r="M295" t="str">
            <v>ECR's: (19867)020303(23024)121111; ESV: SMALLEY PART NO. FSE-0125-S02;</v>
          </cell>
        </row>
        <row r="296">
          <cell r="C296" t="str">
            <v>P75219</v>
          </cell>
          <cell r="D296" t="str">
            <v>SNAP RING      1.625" SHAFT</v>
          </cell>
          <cell r="E296" t="str">
            <v>SNAP RING EXTERNAL TYPE, 1.625" SHAFT;DIA. 302 ST. STL.</v>
          </cell>
          <cell r="F296" t="str">
            <v>AWS MG In-Line Pumps</v>
          </cell>
          <cell r="G296" t="str">
            <v>0.0 (Design)</v>
          </cell>
          <cell r="H296" t="str">
            <v>Released-Published</v>
          </cell>
          <cell r="I296" t="str">
            <v>2022-01-22 16:05 EST</v>
          </cell>
          <cell r="J296" t="str">
            <v>2022-01-22 16:05 EST</v>
          </cell>
          <cell r="K296" t="str">
            <v>NA-Not Applicable</v>
          </cell>
          <cell r="L296" t="str">
            <v>Yes</v>
          </cell>
          <cell r="M296" t="str">
            <v>ECR's: (19867)020303(23024)121111; ESV: SMALLEY PART NO. FSE-0162-S02;</v>
          </cell>
        </row>
        <row r="297">
          <cell r="C297" t="str">
            <v>P75404</v>
          </cell>
          <cell r="D297" t="str">
            <v>SNAP RING  2.125" SHAFT</v>
          </cell>
          <cell r="E297" t="str">
            <v>SNAP RING EXTERNAL TYPE, 2.125" SHAFT;DIA. 302 ST. STL.</v>
          </cell>
          <cell r="F297" t="str">
            <v>AWS MG In-Line Pumps</v>
          </cell>
          <cell r="G297" t="str">
            <v>0.0 (Design)</v>
          </cell>
          <cell r="H297" t="str">
            <v>Released-Published</v>
          </cell>
          <cell r="I297" t="str">
            <v>2022-01-22 16:05 EST</v>
          </cell>
          <cell r="J297" t="str">
            <v>2022-01-22 16:05 EST</v>
          </cell>
          <cell r="K297" t="str">
            <v>NA-Not Applicable</v>
          </cell>
          <cell r="L297" t="str">
            <v>Yes</v>
          </cell>
          <cell r="M297" t="str">
            <v>ECR's: (20128)072303(20287)013004(23024)121111; ESV: MFG. SMALLEY STEEL RING COMPANY;     SMALLEY PART NO. FSE-0212-S02;</v>
          </cell>
        </row>
        <row r="298">
          <cell r="C298" t="str">
            <v>P75406</v>
          </cell>
          <cell r="D298" t="str">
            <v>KEY,IMP. 3/8SQX2-1/8LG 304SS</v>
          </cell>
          <cell r="E298" t="str">
            <v>KEY, TYPE 304 STAINLESS STEEL;ANNEALED COLD FINISHED GROUND, ASTM A276,TP304. 3/8" SQ. X 2-1/8" LG.</v>
          </cell>
          <cell r="F298" t="str">
            <v>AWS MG In-Line Pumps</v>
          </cell>
          <cell r="G298" t="str">
            <v>0.0 (Design)</v>
          </cell>
          <cell r="H298" t="str">
            <v>Released-Published</v>
          </cell>
          <cell r="I298" t="str">
            <v>2022-01-22 15:55 EST</v>
          </cell>
          <cell r="J298" t="str">
            <v>2022-01-22 15:55 EST</v>
          </cell>
          <cell r="K298" t="str">
            <v>NA-Not Applicable</v>
          </cell>
          <cell r="L298" t="str">
            <v>No</v>
          </cell>
          <cell r="M298" t="str">
            <v>ECR's: (20128)072303(20287)013004(23024)121111;</v>
          </cell>
        </row>
        <row r="299">
          <cell r="C299" t="str">
            <v>P75407</v>
          </cell>
          <cell r="D299" t="str">
            <v>KEY, COUPLING .50"SQ X 2"LG</v>
          </cell>
          <cell r="E299" t="str">
            <v>KEY, COUPLING  0.50" SQUARE X 2" LONG. CARBON STEEL KEY STOCK, COLD DRAWN, ASTM A108 GR. C1018.</v>
          </cell>
          <cell r="F299" t="str">
            <v>AWS MG In-Line Pumps</v>
          </cell>
          <cell r="G299" t="str">
            <v>0.0 (Design)</v>
          </cell>
          <cell r="H299" t="str">
            <v>Released-Published</v>
          </cell>
          <cell r="I299" t="str">
            <v>2022-01-22 15:55 EST</v>
          </cell>
          <cell r="J299" t="str">
            <v>2022-01-22 15:55 EST</v>
          </cell>
          <cell r="K299" t="str">
            <v>NA-Not Applicable</v>
          </cell>
          <cell r="L299" t="str">
            <v>No</v>
          </cell>
          <cell r="M299" t="str">
            <v>ECR's: (20128)072303(20287)013004(23024)121111;</v>
          </cell>
        </row>
        <row r="300">
          <cell r="C300" t="str">
            <v>P77375</v>
          </cell>
          <cell r="D300" t="str">
            <v>LOCKWASHER BRG</v>
          </cell>
          <cell r="E300" t="str">
            <v>LOCKWASHER; BEARING, W-11 FOR BALL &amp; ROLLER;BEARINGS; 1/8" X 5/16" KEYWAY REQ'D - .063" TK. EXTERNAL TOOTH; BEARING SIZE 11; STEEL;(WILL MEET AFBMA STANDARDS).</v>
          </cell>
          <cell r="F300" t="str">
            <v>AWS MG Production Drawings</v>
          </cell>
          <cell r="G300" t="str">
            <v>0.0 (Design)</v>
          </cell>
          <cell r="H300" t="str">
            <v>Released-Published</v>
          </cell>
          <cell r="I300" t="str">
            <v>2022-01-22 15:57 EST</v>
          </cell>
          <cell r="J300" t="str">
            <v>2022-01-22 15:57 EST</v>
          </cell>
          <cell r="K300" t="str">
            <v>NA-Not Applicable</v>
          </cell>
          <cell r="L300" t="str">
            <v>No</v>
          </cell>
          <cell r="M300" t="str">
            <v>ECR's: (23024)121111;</v>
          </cell>
        </row>
        <row r="301">
          <cell r="C301" t="str">
            <v>P81766</v>
          </cell>
          <cell r="D301" t="str">
            <v>LABEL, BLANK</v>
          </cell>
          <cell r="E301" t="str">
            <v>SEE DRAWING;</v>
          </cell>
          <cell r="F301" t="str">
            <v>AWS MG Production Drawings</v>
          </cell>
          <cell r="G301" t="str">
            <v>0.1 (Design)</v>
          </cell>
          <cell r="H301" t="str">
            <v>Released-Published</v>
          </cell>
          <cell r="I301" t="str">
            <v>2022-01-23 02:13 EST</v>
          </cell>
          <cell r="J301" t="str">
            <v>2022-01-22 15:56 EST</v>
          </cell>
          <cell r="K301" t="str">
            <v>NA-Not Applicable</v>
          </cell>
          <cell r="L301" t="str">
            <v>No</v>
          </cell>
          <cell r="M301" t="str">
            <v>ECR's: (17911)110998(19562)050902(23024)121111(23205)070512(25337)083017;(26521)102220(26589)030521(26521)070721;</v>
          </cell>
        </row>
        <row r="302">
          <cell r="C302" t="str">
            <v>P83031</v>
          </cell>
          <cell r="D302" t="str">
            <v>FASTENER PKG ASM</v>
          </cell>
          <cell r="F302" t="str">
            <v>AWS MG Circulator Pumps</v>
          </cell>
          <cell r="G302" t="str">
            <v>0.5 (Design)</v>
          </cell>
          <cell r="H302" t="str">
            <v>Released-Published</v>
          </cell>
          <cell r="I302" t="str">
            <v>2022-01-22 19:29 EST</v>
          </cell>
          <cell r="J302" t="str">
            <v>2022-01-22 15:47 EST</v>
          </cell>
          <cell r="K302" t="str">
            <v>NA-Not Applicable</v>
          </cell>
          <cell r="L302" t="str">
            <v>No</v>
          </cell>
          <cell r="M302" t="str">
            <v>ECR's: (18830)101000(23024)121111;</v>
          </cell>
        </row>
        <row r="303">
          <cell r="C303" t="str">
            <v>P85063</v>
          </cell>
          <cell r="D303" t="str">
            <v>SNAP RING      2-5/32 SHAFT</v>
          </cell>
          <cell r="E303" t="str">
            <v>SNAP RING EXTERNAL TYPE, BEVELED, 2-5/32" SHAFT;DIA. CARBON SPRING STEEL-SAE 1075;</v>
          </cell>
          <cell r="F303" t="str">
            <v>AWS MG End Suction Pumps</v>
          </cell>
          <cell r="G303" t="str">
            <v>0.0 (Design)</v>
          </cell>
          <cell r="H303" t="str">
            <v>Released-Published</v>
          </cell>
          <cell r="I303" t="str">
            <v>2022-01-22 16:05 EST</v>
          </cell>
          <cell r="J303" t="str">
            <v>2022-01-22 16:05 EST</v>
          </cell>
          <cell r="K303" t="str">
            <v>NA-Not Applicable</v>
          </cell>
          <cell r="L303" t="str">
            <v>Yes</v>
          </cell>
          <cell r="M303" t="str">
            <v>ECR's: (17319)060497(23024)121111; ESV: 1) WALDES KOHINOOR INC.TRUARE RETAINING RING DIV.--SIZE#5102-215;     2) ROTOCLIP --- NO.VSH-215STPA;</v>
          </cell>
        </row>
        <row r="304">
          <cell r="C304" t="str">
            <v>P86085</v>
          </cell>
          <cell r="D304" t="str">
            <v>#10-16X1/2 TYPE AB SLOTTED HEX</v>
          </cell>
          <cell r="E304" t="str">
            <v>#10-16X1/2 TYPE AB SLOTTED HEX WASHER HEAD SELF THREADING SCREW, ZINC PLATED.</v>
          </cell>
          <cell r="F304" t="str">
            <v>AWS MG In-Line Pumps</v>
          </cell>
          <cell r="G304" t="str">
            <v>0.0 (Design)</v>
          </cell>
          <cell r="H304" t="str">
            <v>Released-Published</v>
          </cell>
          <cell r="I304" t="str">
            <v>2022-01-22 15:34 EST</v>
          </cell>
          <cell r="J304" t="str">
            <v>2022-01-22 15:34 EST</v>
          </cell>
          <cell r="K304" t="str">
            <v>NA-Not Applicable</v>
          </cell>
          <cell r="L304" t="str">
            <v>Yes</v>
          </cell>
          <cell r="M304" t="str">
            <v>ECR's: (N1355P)101102(23024)121111; ESV: ENDRIES.</v>
          </cell>
        </row>
        <row r="305">
          <cell r="C305" t="str">
            <v>P86139</v>
          </cell>
          <cell r="D305" t="str">
            <v>OUTER CARTON</v>
          </cell>
          <cell r="E305" t="str">
            <v>REGULAR SLOTTED CONTAINER,275 LB TEST, C FLUTE;RSC LL GLUE IN 2P-1C 14-1/2" X 12" X 10-7/16";</v>
          </cell>
          <cell r="F305" t="str">
            <v>AWS MG Circulator Pumps</v>
          </cell>
          <cell r="G305" t="str">
            <v>0.2 (Design)</v>
          </cell>
          <cell r="H305" t="str">
            <v>Released-Published</v>
          </cell>
          <cell r="I305" t="str">
            <v>2022-04-28 22:51 EDT</v>
          </cell>
          <cell r="J305" t="str">
            <v>2022-01-22 15:59 EST</v>
          </cell>
          <cell r="K305" t="str">
            <v>NA-Not Applicable</v>
          </cell>
          <cell r="L305" t="str">
            <v>No</v>
          </cell>
          <cell r="M305" t="str">
            <v>ECR's: (20064)081403(22036)111708, 123010(22803)072211(23024)121111;(23273)091412(24570)090415(26989)032522;</v>
          </cell>
        </row>
        <row r="306">
          <cell r="C306" t="str">
            <v>P86296</v>
          </cell>
          <cell r="D306" t="str">
            <v>CARTON</v>
          </cell>
          <cell r="E306" t="str">
            <v>RSC LWR GLUE IN 3P-1C;SIZE: 17-3/4" X 9-5/8" X 7-3/8";ECT 55C;250/UNIT;FILE#53160;</v>
          </cell>
          <cell r="F306" t="str">
            <v>AWS MG Circulator Pumps</v>
          </cell>
          <cell r="G306" t="str">
            <v>0.0 (Design)</v>
          </cell>
          <cell r="H306" t="str">
            <v>Released-Published</v>
          </cell>
          <cell r="I306" t="str">
            <v>2022-01-22 15:42 EST</v>
          </cell>
          <cell r="J306" t="str">
            <v>2022-01-22 15:42 EST</v>
          </cell>
          <cell r="K306" t="str">
            <v>NA-Not Applicable</v>
          </cell>
          <cell r="L306" t="str">
            <v>No</v>
          </cell>
          <cell r="M306" t="str">
            <v>ECR's: (20912)040406, 123010(23024)121111(23980)072314(26319)042420;</v>
          </cell>
        </row>
        <row r="307">
          <cell r="C307" t="str">
            <v>P86299</v>
          </cell>
          <cell r="D307" t="str">
            <v>CARTON</v>
          </cell>
          <cell r="E307" t="str">
            <v>CARTON;RSC LL GLUE IN PLAIN;23 X 14 5/8 X 10 1/2 EC48 BC;150/UNIT;</v>
          </cell>
          <cell r="F307" t="str">
            <v>AWS MG Circulator Pumps</v>
          </cell>
          <cell r="G307" t="str">
            <v>0.0 (Design)</v>
          </cell>
          <cell r="H307" t="str">
            <v>Released-Published</v>
          </cell>
          <cell r="I307" t="str">
            <v>2022-01-22 15:42 EST</v>
          </cell>
          <cell r="J307" t="str">
            <v>2022-01-22 15:42 EST</v>
          </cell>
          <cell r="K307" t="str">
            <v>NA-Not Applicable</v>
          </cell>
          <cell r="L307" t="str">
            <v>No</v>
          </cell>
          <cell r="M307" t="str">
            <v>ECR's: (21092)092106, 123010(23024)121111(23980)072314;</v>
          </cell>
        </row>
        <row r="308">
          <cell r="C308" t="str">
            <v>S04620</v>
          </cell>
          <cell r="D308" t="str">
            <v>DECAL, B&amp;G LOGO</v>
          </cell>
          <cell r="E308" t="str">
            <v>1-11/16" W.X 2-3/16" HIGH OVAL, .002" THK. METALIZED MYLAR WITH PERMANENT ADHESIVE, PRINTED "PMS 185 RED" ON WHITE BACKGROUND;WITH .001"THK. CLEAR MYLAR OVER-LAY,  PER SAMPLE. IN ROLLS WITH: LABEL BOTTOM AS THE LEADING EDGE WHEN DISPENSING. NOTE: SHELF LIFE EXPIRATION DATE TO APPEAR ON EACH;INDIVIDUAL CARTON, ROLL OR BAG WITHIN THE MASTER;CONTAINER!;</v>
          </cell>
          <cell r="F308" t="str">
            <v>AWS MG PSG Data</v>
          </cell>
          <cell r="G308" t="str">
            <v>0.1 (Design)</v>
          </cell>
          <cell r="H308" t="str">
            <v>Released-Published</v>
          </cell>
          <cell r="I308" t="str">
            <v>2022-01-23 02:15 EST</v>
          </cell>
          <cell r="J308" t="str">
            <v>2022-01-22 15:45 EST</v>
          </cell>
          <cell r="K308" t="str">
            <v>NA-Not Applicable</v>
          </cell>
          <cell r="L308" t="str">
            <v>No</v>
          </cell>
          <cell r="M308" t="str">
            <v>ECR's: (15763)011593(23024)121111(24022)040214(26521)070721;</v>
          </cell>
        </row>
        <row r="309">
          <cell r="C309" t="str">
            <v>S26300</v>
          </cell>
          <cell r="D309" t="str">
            <v>NIPPLE STD 1/4NPT X 3"LG</v>
          </cell>
          <cell r="E309" t="str">
            <v>NIPPLE PIPE STANDARD R.H. 1/4"NPT X 3" LG. WROUGHT STEEL BLACK.</v>
          </cell>
          <cell r="F309" t="str">
            <v>AWS MG PSG Data</v>
          </cell>
          <cell r="G309" t="str">
            <v>0.0 (Design)</v>
          </cell>
          <cell r="H309" t="str">
            <v>Released-Published</v>
          </cell>
          <cell r="I309" t="str">
            <v>2022-01-22 15:59 EST</v>
          </cell>
          <cell r="J309" t="str">
            <v>2022-01-22 15:59 EST</v>
          </cell>
          <cell r="K309" t="str">
            <v>NA-Not Applicable</v>
          </cell>
          <cell r="L309" t="str">
            <v>No</v>
          </cell>
          <cell r="M309" t="str">
            <v>ECR's: (23024)121111;</v>
          </cell>
        </row>
        <row r="310">
          <cell r="C310" t="str">
            <v>S29400</v>
          </cell>
          <cell r="D310" t="str">
            <v>CAPSCREW HEX HD3/8-16NCX5/8</v>
          </cell>
          <cell r="E310" t="str">
            <v>CAPSCREW, HEX HD. 3/8" DIA 16 UNC - 2A X 5/8" LG. DIMENSIONS TO CONFORM TO ANSI STANDARD B18.2.1;LOW CARBON STEEL, SAE GRADE 2.</v>
          </cell>
          <cell r="F310" t="str">
            <v>AWS HSC - AC Firepumps</v>
          </cell>
          <cell r="G310" t="str">
            <v>0.0 (Design)</v>
          </cell>
          <cell r="H310" t="str">
            <v>Released-Published</v>
          </cell>
          <cell r="I310" t="str">
            <v>2022-01-22 15:42 EST</v>
          </cell>
          <cell r="J310" t="str">
            <v>2022-01-22 15:42 EST</v>
          </cell>
          <cell r="K310" t="str">
            <v>NA-Not Applicable</v>
          </cell>
          <cell r="L310" t="str">
            <v>No</v>
          </cell>
          <cell r="M310" t="str">
            <v>ECR's: (23024)121111;</v>
          </cell>
        </row>
        <row r="311">
          <cell r="C311" t="str">
            <v>S39740</v>
          </cell>
          <cell r="D311" t="str">
            <v>TEE, STRAIGHT PIPE 1/4"NPT</v>
          </cell>
          <cell r="E311" t="str">
            <v>1/4"NPT X 1/4"NPT X 1/4"NPT, STRAIGHT. PER ANSI B16.3, 150# STEAM BANDED-MALLEABLE IRON, BLACK.</v>
          </cell>
          <cell r="F311" t="str">
            <v>AWS MG PSG Data</v>
          </cell>
          <cell r="G311" t="str">
            <v>0.0 (Design)</v>
          </cell>
          <cell r="H311" t="str">
            <v>Released-Published</v>
          </cell>
          <cell r="I311" t="str">
            <v>2022-01-22 16:07 EST</v>
          </cell>
          <cell r="J311" t="str">
            <v>2022-01-22 16:07 EST</v>
          </cell>
          <cell r="K311" t="str">
            <v>NA-Not Applicable</v>
          </cell>
          <cell r="L311" t="str">
            <v>No</v>
          </cell>
          <cell r="M311" t="str">
            <v>ECR's: (16483)113094(23024)121111;</v>
          </cell>
        </row>
        <row r="312">
          <cell r="C312" t="str">
            <v>S42940</v>
          </cell>
          <cell r="D312" t="str">
            <v>CONN MALE COMP  3/8OD X 1/4MPT</v>
          </cell>
          <cell r="E312" t="str">
            <v>CONNECTOR; MALE (COMP'R.);3/8" O.D. OF TUBE X 1/4" MPT;EXTRUDED BRASS ROD;</v>
          </cell>
          <cell r="F312" t="str">
            <v>AWS MG End Suction Pumps</v>
          </cell>
          <cell r="G312" t="str">
            <v>0.0 (Design)</v>
          </cell>
          <cell r="H312" t="str">
            <v>Released-Published</v>
          </cell>
          <cell r="I312" t="str">
            <v>2022-01-22 15:44 EST</v>
          </cell>
          <cell r="J312" t="str">
            <v>2022-01-22 15:44 EST</v>
          </cell>
          <cell r="K312" t="str">
            <v>NA-Not Applicable</v>
          </cell>
          <cell r="L312" t="str">
            <v>Yes</v>
          </cell>
          <cell r="M312" t="str">
            <v>ECR's: (23024)121111; ESV: 1) IMPERIAL-EASTMAN CO.--- P/N:68-F;     2) SEMLER IND.,FRANKLIN PK.,IL.--- WEATHERHEAD #68X6;</v>
          </cell>
        </row>
        <row r="313">
          <cell r="C313" t="str">
            <v>S66620</v>
          </cell>
          <cell r="D313" t="str">
            <v>NIPPLE STD     1/4NPT X 7/8 LG</v>
          </cell>
          <cell r="E313" t="str">
            <v>NIPPLE PIPE STD. R.H. CLOSE TYPE,1/4"NPT X 7/8"LG;WROUGHT STEEL,BLACK.</v>
          </cell>
          <cell r="F313" t="str">
            <v>AWS MG End Suction Pumps</v>
          </cell>
          <cell r="G313" t="str">
            <v>0.0 (Design)</v>
          </cell>
          <cell r="H313" t="str">
            <v>Released-Published</v>
          </cell>
          <cell r="I313" t="str">
            <v>2022-01-22 15:58 EST</v>
          </cell>
          <cell r="J313" t="str">
            <v>2022-01-22 15:58 EST</v>
          </cell>
          <cell r="K313" t="str">
            <v>NA-Not Applicable</v>
          </cell>
          <cell r="L313" t="str">
            <v>No</v>
          </cell>
          <cell r="M313" t="str">
            <v>ECR's: (23024)121111;</v>
          </cell>
        </row>
        <row r="314">
          <cell r="C314" t="str">
            <v>T39830</v>
          </cell>
          <cell r="D314" t="str">
            <v>NUT HEX HVY    7/8-9UNC-2B</v>
          </cell>
          <cell r="E314" t="str">
            <v>SEE DRAWING;</v>
          </cell>
          <cell r="F314" t="str">
            <v>AWS MG Valves General Data</v>
          </cell>
          <cell r="G314" t="str">
            <v>0.1 (Design)</v>
          </cell>
          <cell r="H314" t="str">
            <v>Released-Published</v>
          </cell>
          <cell r="I314" t="str">
            <v>2022-01-23 02:17 EST</v>
          </cell>
          <cell r="J314" t="str">
            <v>2022-01-22 15:59 EST</v>
          </cell>
          <cell r="K314" t="str">
            <v>NA-Not Applicable</v>
          </cell>
          <cell r="L314" t="str">
            <v>No</v>
          </cell>
          <cell r="M314" t="str">
            <v>ECR's: (17473)112497(23024)121111(26589)030521;</v>
          </cell>
        </row>
        <row r="315">
          <cell r="C315" t="str">
            <v>V51090</v>
          </cell>
          <cell r="D315" t="str">
            <v>RETAINER RING</v>
          </cell>
          <cell r="E315" t="str">
            <v>RETAINER RING (EXTERNAL) STEEL ZINC PLATED;DICHROMATE DIP.</v>
          </cell>
          <cell r="F315" t="str">
            <v>AWS MG Valves General Data</v>
          </cell>
          <cell r="G315" t="str">
            <v>0.0 (Design)</v>
          </cell>
          <cell r="H315" t="str">
            <v>Released-Published</v>
          </cell>
          <cell r="I315" t="str">
            <v>2022-01-22 16:01 EST</v>
          </cell>
          <cell r="J315" t="str">
            <v>2022-01-22 16:01 EST</v>
          </cell>
          <cell r="K315" t="str">
            <v>NA-Not Applicable</v>
          </cell>
          <cell r="L315" t="str">
            <v>Yes</v>
          </cell>
          <cell r="M315" t="str">
            <v>ECR's: (17319)060497(23024)121111; ESV: 1) TRUARC --- PART NO. 5133-43-ZD;     2) ROTOR CLIP CO.--- RING NO.E-43STZD;     3) IND.RETAINING RING CO. --- NO.1000-43-ZD;</v>
          </cell>
        </row>
        <row r="316">
          <cell r="C316" t="str">
            <v>V51091</v>
          </cell>
          <cell r="D316" t="str">
            <v>RETAINER RING</v>
          </cell>
          <cell r="E316" t="str">
            <v>RETAINER RING, (EXTERNAL) STEEL, ZINC PLATED;DICHROMATE DIP.</v>
          </cell>
          <cell r="F316" t="str">
            <v>AWS MG Valves General Data</v>
          </cell>
          <cell r="G316" t="str">
            <v>0.0 (Design)</v>
          </cell>
          <cell r="H316" t="str">
            <v>Released-Published</v>
          </cell>
          <cell r="I316" t="str">
            <v>2022-01-22 16:01 EST</v>
          </cell>
          <cell r="J316" t="str">
            <v>2022-01-22 16:01 EST</v>
          </cell>
          <cell r="K316" t="str">
            <v>NA-Not Applicable</v>
          </cell>
          <cell r="L316" t="str">
            <v>Yes</v>
          </cell>
          <cell r="M316" t="str">
            <v>ECR's: (23024)121111;(173190060497; ESV:1) E-RING --- P/N:X5133-74-ZD;    2) ROTOR CLIP CO. --- RING NO. SE-74STZD;    3) IND.RETAINER RING CO. --- NO.1000-X74-ZD;</v>
          </cell>
        </row>
        <row r="317">
          <cell r="C317" t="str">
            <v>V51092</v>
          </cell>
          <cell r="D317" t="str">
            <v>RETAINER RING</v>
          </cell>
          <cell r="E317" t="str">
            <v>RETAINER RING (EXTERNAL) STEEL, ZINC PLATED;DICHROMATE DIP.</v>
          </cell>
          <cell r="F317" t="str">
            <v>AWS MG Valves General Data</v>
          </cell>
          <cell r="G317" t="str">
            <v>0.0 (Design)</v>
          </cell>
          <cell r="H317" t="str">
            <v>Released-Published</v>
          </cell>
          <cell r="I317" t="str">
            <v>2022-01-22 16:01 EST</v>
          </cell>
          <cell r="J317" t="str">
            <v>2022-01-22 16:01 EST</v>
          </cell>
          <cell r="K317" t="str">
            <v>NA-Not Applicable</v>
          </cell>
          <cell r="L317" t="str">
            <v>Yes</v>
          </cell>
          <cell r="M317" t="str">
            <v>ECR's: (17319)060497(23024)121111; ESV: 1) TRUARC --- E-RING, P/N: X5133-98-ZD;     2) ROTOR CLIP CO.--- RING NO.SE-98STZD;     3) IND.RETAINER RING CO.--- NO. 1000-X98-ZD;</v>
          </cell>
        </row>
        <row r="318">
          <cell r="C318" t="str">
            <v>V51093</v>
          </cell>
          <cell r="D318" t="str">
            <v>RETAINER RING</v>
          </cell>
          <cell r="E318" t="str">
            <v>RETAINER RING (EXTERNAL) STEEL, ZINC PLATE;DICHROMATE DIP.</v>
          </cell>
          <cell r="F318" t="str">
            <v>AWS MG Valves General Data</v>
          </cell>
          <cell r="G318" t="str">
            <v>0.0 (Design)</v>
          </cell>
          <cell r="H318" t="str">
            <v>Released-Published</v>
          </cell>
          <cell r="I318" t="str">
            <v>2022-01-22 16:01 EST</v>
          </cell>
          <cell r="J318" t="str">
            <v>2022-01-22 16:01 EST</v>
          </cell>
          <cell r="K318" t="str">
            <v>NA-Not Applicable</v>
          </cell>
          <cell r="L318" t="str">
            <v>Yes</v>
          </cell>
          <cell r="M318" t="str">
            <v>ECR's: (17319)060597(23024)121111; ESV: 1) TRUARC --- E-RING BOWED, PART NO.5131-43-ZD;     2) ROTOR CLIP CO. --- RING NO.BE-43STZD;     3) INUDTRIAL RETAINER RING CO. --- NO.1001-43-ZD;</v>
          </cell>
        </row>
        <row r="319">
          <cell r="C319" t="str">
            <v>V51094</v>
          </cell>
          <cell r="D319" t="str">
            <v>RETAINER RING</v>
          </cell>
          <cell r="E319" t="str">
            <v>RETAINER RING (EXTERNAL) STEEL, ZINC PLATED;DICHROMATE DIP.</v>
          </cell>
          <cell r="F319" t="str">
            <v>AWS MG Valves General Data</v>
          </cell>
          <cell r="G319" t="str">
            <v>0.0 (Design)</v>
          </cell>
          <cell r="H319" t="str">
            <v>Released-Published</v>
          </cell>
          <cell r="I319" t="str">
            <v>2022-01-22 16:01 EST</v>
          </cell>
          <cell r="J319" t="str">
            <v>2022-01-22 16:01 EST</v>
          </cell>
          <cell r="K319" t="str">
            <v>NA-Not Applicable</v>
          </cell>
          <cell r="L319" t="str">
            <v>Yes</v>
          </cell>
          <cell r="M319" t="str">
            <v>ECR's: (17319)060597(23024)121111; ESV: 1) TRUARC --- E-RING BOWED, P.N.X5131-74ZD;     2) ROTOR CLIP CO.--- RING NO.BE-74STZD;     3) INDUDTRIAL RET. RING CO. --- NO.1001-X74-ZD;</v>
          </cell>
        </row>
        <row r="320">
          <cell r="C320" t="str">
            <v>V51111</v>
          </cell>
          <cell r="D320" t="str">
            <v>CAP N/P RETAIN 3D&amp;3DS 2-2.5-3</v>
          </cell>
          <cell r="E320" t="str">
            <v>CAP N/P RETAINER (3D-3DS) #20 GA. (.0359" + -.002;TK.) STEEL, "ZINC PLATED";</v>
          </cell>
          <cell r="F320" t="str">
            <v>AWS MG Valves General Data</v>
          </cell>
          <cell r="G320" t="str">
            <v>0.1 (Design)</v>
          </cell>
          <cell r="H320" t="str">
            <v>Released-Published</v>
          </cell>
          <cell r="I320" t="str">
            <v>2022-01-23 02:20 EST</v>
          </cell>
          <cell r="J320" t="str">
            <v>2022-01-22 15:42 EST</v>
          </cell>
          <cell r="K320" t="str">
            <v>NA-Not Applicable</v>
          </cell>
          <cell r="L320" t="str">
            <v>No</v>
          </cell>
          <cell r="M320" t="str">
            <v>ECR's: (23024)121111;</v>
          </cell>
        </row>
        <row r="321">
          <cell r="C321" t="str">
            <v>V51114</v>
          </cell>
          <cell r="D321" t="str">
            <v>CAP N/P RETAIN 3D&amp;3DS 4-10IN</v>
          </cell>
          <cell r="E321" t="str">
            <v>CAP N/P RETAINER (3D-3DS) #20 GA. (.0359" + -.002;TK.) STEEL, "ZINC PLATED";</v>
          </cell>
          <cell r="F321" t="str">
            <v>AWS MG Valves General Data</v>
          </cell>
          <cell r="G321" t="str">
            <v>0.1 (Design)</v>
          </cell>
          <cell r="H321" t="str">
            <v>Released-Published</v>
          </cell>
          <cell r="I321" t="str">
            <v>2022-01-23 02:20 EST</v>
          </cell>
          <cell r="J321" t="str">
            <v>2022-01-22 15:42 EST</v>
          </cell>
          <cell r="K321" t="str">
            <v>NA-Not Applicable</v>
          </cell>
          <cell r="L321" t="str">
            <v>No</v>
          </cell>
          <cell r="M321" t="str">
            <v>ECR's: (23024)121111;</v>
          </cell>
        </row>
        <row r="322">
          <cell r="C322" t="str">
            <v>V51180</v>
          </cell>
          <cell r="D322" t="str">
            <v>INDICATOR RING 7/8" I.D.</v>
          </cell>
          <cell r="E322" t="str">
            <v>7/8" I.D., 18GA. (.047"THK.);TYPE 302 CLASS 1 STAINLESS STEEL PASSIVATED. ASTM A313.</v>
          </cell>
          <cell r="F322" t="str">
            <v>AWS MG Valves General Data</v>
          </cell>
          <cell r="G322" t="str">
            <v>0.1 (Design)</v>
          </cell>
          <cell r="H322" t="str">
            <v>Released-Published</v>
          </cell>
          <cell r="I322" t="str">
            <v>2022-01-23 02:20 EST</v>
          </cell>
          <cell r="J322" t="str">
            <v>2022-01-22 15:55 EST</v>
          </cell>
          <cell r="K322" t="str">
            <v>NA-Not Applicable</v>
          </cell>
          <cell r="L322" t="str">
            <v>No</v>
          </cell>
          <cell r="M322" t="str">
            <v>ECR's: (14964)031891(23024)121111;</v>
          </cell>
        </row>
        <row r="323">
          <cell r="C323" t="str">
            <v>V51181</v>
          </cell>
          <cell r="D323" t="str">
            <v>INDICATOR RING 1-11/16" I.D.</v>
          </cell>
          <cell r="E323" t="str">
            <v>1-11/16"I.D.,18GA. (.047"THK.);TYPE 302 CLASS 1 STAINLESS STEEL PASSIVATED. ASTM A313.</v>
          </cell>
          <cell r="F323" t="str">
            <v>AWS MG Valves General Data</v>
          </cell>
          <cell r="G323" t="str">
            <v>0.1 (Design)</v>
          </cell>
          <cell r="H323" t="str">
            <v>Released-Published</v>
          </cell>
          <cell r="I323" t="str">
            <v>2022-01-23 02:20 EST</v>
          </cell>
          <cell r="J323" t="str">
            <v>2022-01-22 15:55 EST</v>
          </cell>
          <cell r="K323" t="str">
            <v>NA-Not Applicable</v>
          </cell>
          <cell r="L323" t="str">
            <v>No</v>
          </cell>
          <cell r="M323" t="str">
            <v>ECR's: (14964)031891(23024)121111;</v>
          </cell>
        </row>
        <row r="324">
          <cell r="C324" t="str">
            <v>V51184</v>
          </cell>
          <cell r="D324" t="str">
            <v>WASHER GLAND</v>
          </cell>
          <cell r="E324" t="str">
            <v>WASHER GLAND FLAT TYPE, 1-5/8"O.D. X 1-5/32" I.D. X 1/16" TK. BRASS;</v>
          </cell>
          <cell r="F324" t="str">
            <v>AWS MG Valves General Data</v>
          </cell>
          <cell r="G324" t="str">
            <v>0.1 (Design)</v>
          </cell>
          <cell r="H324" t="str">
            <v>Released-Published</v>
          </cell>
          <cell r="I324" t="str">
            <v>2022-01-23 02:20 EST</v>
          </cell>
          <cell r="J324" t="str">
            <v>2022-01-22 16:11 EST</v>
          </cell>
          <cell r="K324" t="str">
            <v>NA-Not Applicable</v>
          </cell>
          <cell r="L324" t="str">
            <v>No</v>
          </cell>
          <cell r="M324" t="str">
            <v>ECR's: (23024)121111;</v>
          </cell>
        </row>
        <row r="325">
          <cell r="C325" t="str">
            <v>V51281</v>
          </cell>
          <cell r="D325" t="str">
            <v>NUT,PACKING 1-3/8-12UNF-2A</v>
          </cell>
          <cell r="E325" t="str">
            <v>1-3/8"HEX.,1-3/8"-12UNF-2A THREAD. ANSI OR SAE NO.1215 OR EQUAL;STEEL ELECTROLESS;NICKEL PLATED .0005"MIN.TK.</v>
          </cell>
          <cell r="F325" t="str">
            <v>AWS MG Valves General Data</v>
          </cell>
          <cell r="G325" t="str">
            <v>0.1 (Design)</v>
          </cell>
          <cell r="H325" t="str">
            <v>Released-Published</v>
          </cell>
          <cell r="I325" t="str">
            <v>2022-01-23 02:20 EST</v>
          </cell>
          <cell r="J325" t="str">
            <v>2022-01-22 15:59 EST</v>
          </cell>
          <cell r="K325" t="str">
            <v>NA-Not Applicable</v>
          </cell>
          <cell r="L325" t="str">
            <v>Yes</v>
          </cell>
          <cell r="M325" t="str">
            <v>ECR's: (17149)103096(23024)121111; ESV: 1) SCREW MACHINE ENG.CO.      2) GAM INDUSTRIES;     3) DYNAMIC PRECISION PROD.,INC.</v>
          </cell>
        </row>
        <row r="326">
          <cell r="C326" t="str">
            <v>V51282</v>
          </cell>
          <cell r="D326" t="str">
            <v>WASHER</v>
          </cell>
          <cell r="E326" t="str">
            <v>WASHER,FLAT TYPE BRASS 1-1/4" O.D. X 13/16" I.D.X;1/16"THK.</v>
          </cell>
          <cell r="F326" t="str">
            <v>AWS MG Valves General Data</v>
          </cell>
          <cell r="G326" t="str">
            <v>0.1 (Design)</v>
          </cell>
          <cell r="H326" t="str">
            <v>Released-Published</v>
          </cell>
          <cell r="I326" t="str">
            <v>2022-01-23 02:20 EST</v>
          </cell>
          <cell r="J326" t="str">
            <v>2022-01-22 16:11 EST</v>
          </cell>
          <cell r="K326" t="str">
            <v>NA-Not Applicable</v>
          </cell>
          <cell r="L326" t="str">
            <v>No</v>
          </cell>
          <cell r="M326" t="str">
            <v>ECR's: (23024)121111;</v>
          </cell>
        </row>
        <row r="327">
          <cell r="C327" t="str">
            <v>V56879</v>
          </cell>
          <cell r="D327" t="str">
            <v>MEMORY BUTTOM 3/8" DIA.</v>
          </cell>
          <cell r="E327" t="str">
            <v>3/8"DIA. "SBR" WHITE RUBBER, 60 +5/-5 DUROMETER.</v>
          </cell>
          <cell r="F327" t="str">
            <v>AWS MG Valves General Data</v>
          </cell>
          <cell r="G327" t="str">
            <v>0.1 (Design)</v>
          </cell>
          <cell r="H327" t="str">
            <v>Released-Published</v>
          </cell>
          <cell r="I327" t="str">
            <v>2022-01-23 02:21 EST</v>
          </cell>
          <cell r="J327" t="str">
            <v>2022-01-22 15:57 EST</v>
          </cell>
          <cell r="K327" t="str">
            <v>NA-Not Applicable</v>
          </cell>
          <cell r="L327" t="str">
            <v>No</v>
          </cell>
          <cell r="M327" t="str">
            <v>ECR's: (14674)062790(23024)121111;</v>
          </cell>
        </row>
        <row r="328">
          <cell r="C328" t="str">
            <v>V56880</v>
          </cell>
          <cell r="D328" t="str">
            <v>MEMORY BUTTON 1/2"DIA.</v>
          </cell>
          <cell r="E328" t="str">
            <v>1/2"DIA. "SBR" WHITE RUBBER, 60 +5/-5 DUROMETER.</v>
          </cell>
          <cell r="F328" t="str">
            <v>AWS MG Valves General Data</v>
          </cell>
          <cell r="G328" t="str">
            <v>0.1 (Design)</v>
          </cell>
          <cell r="H328" t="str">
            <v>Released-Published</v>
          </cell>
          <cell r="I328" t="str">
            <v>2022-01-23 02:21 EST</v>
          </cell>
          <cell r="J328" t="str">
            <v>2022-01-22 15:57 EST</v>
          </cell>
          <cell r="K328" t="str">
            <v>NA-Not Applicable</v>
          </cell>
          <cell r="L328" t="str">
            <v>No</v>
          </cell>
          <cell r="M328" t="str">
            <v>ECR's: (14674)062790(23024)121111;</v>
          </cell>
        </row>
        <row r="329">
          <cell r="C329" t="str">
            <v>W18153</v>
          </cell>
          <cell r="D329" t="str">
            <v>OIL TUBE,SMALL,FOR GRAINGER</v>
          </cell>
          <cell r="E329" t="str">
            <v>SMALL OIL TUBE PACKAGED FOR GRAINGER. W.W.GRAINGER SKU# 4YM22;</v>
          </cell>
          <cell r="F329" t="str">
            <v>AWS MG Production Drawings</v>
          </cell>
          <cell r="G329" t="str">
            <v>0.5 (Design)</v>
          </cell>
          <cell r="H329" t="str">
            <v>Released-Published</v>
          </cell>
          <cell r="I329" t="str">
            <v>2022-01-22 19:31 EST</v>
          </cell>
          <cell r="J329" t="str">
            <v>2022-01-22 15:59 EST</v>
          </cell>
          <cell r="K329" t="str">
            <v>NA-Not Applicable</v>
          </cell>
          <cell r="L329" t="str">
            <v>No</v>
          </cell>
          <cell r="M329" t="str">
            <v>ECR's: (18324)101899(20169)090503(23024)121111(26526)101420;</v>
          </cell>
        </row>
        <row r="330">
          <cell r="C330" t="str">
            <v>W18154</v>
          </cell>
          <cell r="D330" t="str">
            <v>OIL TUBE,LARGE,FOR GRAINGER</v>
          </cell>
          <cell r="E330" t="str">
            <v>LARGE OIL TUBE PACKAGED FOR GRAINGER. W.W.GRAINGER SKU #4YM23;</v>
          </cell>
          <cell r="F330" t="str">
            <v>AWS MG Production Drawings</v>
          </cell>
          <cell r="G330" t="str">
            <v>0.5 (Design)</v>
          </cell>
          <cell r="H330" t="str">
            <v>Released-Published</v>
          </cell>
          <cell r="I330" t="str">
            <v>2022-01-22 19:31 EST</v>
          </cell>
          <cell r="J330" t="str">
            <v>2022-01-22 15:59 EST</v>
          </cell>
          <cell r="K330" t="str">
            <v>NA-Not Applicable</v>
          </cell>
          <cell r="L330" t="str">
            <v>No</v>
          </cell>
          <cell r="M330" t="str">
            <v>ECR's: (18324)101899(20169)090503(23024)121111;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cmaster.com/44615K452/" TargetMode="External"/><Relationship Id="rId21" Type="http://schemas.openxmlformats.org/officeDocument/2006/relationships/hyperlink" Target="https://www.skf.com/us/products/rolling-bearings/accessories/lock-nuts/keyway/productid-N%2013" TargetMode="External"/><Relationship Id="rId63" Type="http://schemas.openxmlformats.org/officeDocument/2006/relationships/hyperlink" Target="https://www.americanring.com/products/snap-ring.aspx?item=5100-175" TargetMode="External"/><Relationship Id="rId159" Type="http://schemas.openxmlformats.org/officeDocument/2006/relationships/hyperlink" Target="https://www.grainger.com/category/fasteners/bolts-screws/hex-head-bolts/standard-hex-head-cap-screws?attrs=Fastener+Length%7C5%2F8+in~~Material+Grade%2FClass%7CGrade+2~~Material%7CSteel~~Thread+Size%7C3%2F8%22-16&amp;filters=attrs" TargetMode="External"/><Relationship Id="rId170" Type="http://schemas.openxmlformats.org/officeDocument/2006/relationships/hyperlink" Target="https://www.fastenal.com/product/details/77211" TargetMode="External"/><Relationship Id="rId226" Type="http://schemas.openxmlformats.org/officeDocument/2006/relationships/hyperlink" Target="https://www.mcmaster.com/3799N82/" TargetMode="External"/><Relationship Id="rId268" Type="http://schemas.openxmlformats.org/officeDocument/2006/relationships/hyperlink" Target="https://www.mcmaster.com/98870A296/" TargetMode="External"/><Relationship Id="rId32" Type="http://schemas.openxmlformats.org/officeDocument/2006/relationships/hyperlink" Target="https://www.grainger.com/product/PARKER-Hex-Head-Plug-Carbon-Steel-1DGT7" TargetMode="External"/><Relationship Id="rId74" Type="http://schemas.openxmlformats.org/officeDocument/2006/relationships/hyperlink" Target="https://www.grainger.com/product/GRAINGER-APPROVED-Hex-Head-Cap-Screw-Steel-22RY24" TargetMode="External"/><Relationship Id="rId128" Type="http://schemas.openxmlformats.org/officeDocument/2006/relationships/hyperlink" Target="https://www.fastenal.com/product/details/924310628" TargetMode="External"/><Relationship Id="rId5" Type="http://schemas.openxmlformats.org/officeDocument/2006/relationships/hyperlink" Target="https://www.fastenal.com/product/details/466229" TargetMode="External"/><Relationship Id="rId181" Type="http://schemas.openxmlformats.org/officeDocument/2006/relationships/hyperlink" Target="https://www.motion.com/products/sku/00633759;origin=sayt" TargetMode="External"/><Relationship Id="rId237" Type="http://schemas.openxmlformats.org/officeDocument/2006/relationships/hyperlink" Target="https://www.mcmaster.com/98026a117/" TargetMode="External"/><Relationship Id="rId279" Type="http://schemas.openxmlformats.org/officeDocument/2006/relationships/hyperlink" Target="https://www1.mcmaster.com/92314A293/" TargetMode="External"/><Relationship Id="rId43" Type="http://schemas.openxmlformats.org/officeDocument/2006/relationships/hyperlink" Target="https://www.fastenal.com/product/details/0437818" TargetMode="External"/><Relationship Id="rId139" Type="http://schemas.openxmlformats.org/officeDocument/2006/relationships/hyperlink" Target="https://www.mcmaster.com/products/standard-washers/for-screw-size~3-8/material~stainless-steel/id~0-406/od~0-812/system-of-measurement~inch/washer-type~flat/" TargetMode="External"/><Relationship Id="rId290" Type="http://schemas.openxmlformats.org/officeDocument/2006/relationships/hyperlink" Target="https://www.allorings.com/configurator-qty" TargetMode="External"/><Relationship Id="rId85" Type="http://schemas.openxmlformats.org/officeDocument/2006/relationships/hyperlink" Target="https://www.grainger.com/product/GRAINGER-APPROVED-Hex-Head-Cap-Screw-Steel-22RY28" TargetMode="External"/><Relationship Id="rId150" Type="http://schemas.openxmlformats.org/officeDocument/2006/relationships/hyperlink" Target="https://www.mcmaster.com/91375A578/" TargetMode="External"/><Relationship Id="rId192" Type="http://schemas.openxmlformats.org/officeDocument/2006/relationships/hyperlink" Target="https://www.skf.com/us/products/rolling-bearings/accessories/lock-nuts/keyway/productid-AN%2016" TargetMode="External"/><Relationship Id="rId206" Type="http://schemas.openxmlformats.org/officeDocument/2006/relationships/hyperlink" Target="https://www.mcmaster.com/90108A032/" TargetMode="External"/><Relationship Id="rId248" Type="http://schemas.openxmlformats.org/officeDocument/2006/relationships/hyperlink" Target="https://www.huyett.com/sets-10-0075" TargetMode="External"/><Relationship Id="rId12" Type="http://schemas.openxmlformats.org/officeDocument/2006/relationships/hyperlink" Target="https://ph.parker.com/us/en/product/brass-compression-fittings/68c-4-2?_gl=1*bxa1d7*_ga*MjYxNDk1MTQ2LjE2ODY1NjcyNDI.*_ga_QBSNDM6SF0*MTY4NjU2NzI0Mi4xLjEuMTY4NjU2ODE4OS40OS4wLjA" TargetMode="External"/><Relationship Id="rId33" Type="http://schemas.openxmlformats.org/officeDocument/2006/relationships/hyperlink" Target="https://www.grainger.com/product/PARKER-Hex-Head-Plug-Zinc-Plated-1DGT8" TargetMode="External"/><Relationship Id="rId108" Type="http://schemas.openxmlformats.org/officeDocument/2006/relationships/hyperlink" Target="https://www.grainger.com/product/GRAINGER-APPROVED-Hex-Head-Cap-Screw-Steel-22RY32" TargetMode="External"/><Relationship Id="rId129" Type="http://schemas.openxmlformats.org/officeDocument/2006/relationships/hyperlink" Target="https://www.fastenal.com/product?query=66270&amp;fsi=1" TargetMode="External"/><Relationship Id="rId280" Type="http://schemas.openxmlformats.org/officeDocument/2006/relationships/hyperlink" Target="https://www.mcmaster.com/92240A722/" TargetMode="External"/><Relationship Id="rId54" Type="http://schemas.openxmlformats.org/officeDocument/2006/relationships/hyperlink" Target="https://www.fastenal.com/product/details/78069" TargetMode="External"/><Relationship Id="rId75" Type="http://schemas.openxmlformats.org/officeDocument/2006/relationships/hyperlink" Target="https://www.grainger.com/product/GRAINGER-APPROVED-Hex-Head-Cap-Screw-Steel-22RY30" TargetMode="External"/><Relationship Id="rId96" Type="http://schemas.openxmlformats.org/officeDocument/2006/relationships/hyperlink" Target="https://www.grainger.com/product/GRAINGER-APPROVED-Hex-Head-Cap-Screw-Steel-22RY50" TargetMode="External"/><Relationship Id="rId140" Type="http://schemas.openxmlformats.org/officeDocument/2006/relationships/hyperlink" Target="https://www.fastenal.com/product?query=12311&amp;fsi=1" TargetMode="External"/><Relationship Id="rId161" Type="http://schemas.openxmlformats.org/officeDocument/2006/relationships/hyperlink" Target="https://www.grainger.com/product/GRAINGER-APPROVED-Hex-Head-Cap-Screw-Steel-22RY42" TargetMode="External"/><Relationship Id="rId182" Type="http://schemas.openxmlformats.org/officeDocument/2006/relationships/hyperlink" Target="https://www.motion.com/products/sku/00633884" TargetMode="External"/><Relationship Id="rId217" Type="http://schemas.openxmlformats.org/officeDocument/2006/relationships/hyperlink" Target="https://ph.parker.com/us/en/product/nitrile-70-durometer-o-ring-ul-approved-n1499-70/n1499-2-260" TargetMode="External"/><Relationship Id="rId6" Type="http://schemas.openxmlformats.org/officeDocument/2006/relationships/hyperlink" Target="https://www.fastenal.com/product/Fasteners/Nuts/Hex%2520Nuts?Category%20Attributes.Finish=Zinc&amp;Category%20Attributes.Type=Hex%20Nut&amp;Category%20Attributes.Dia/Thread%20Size=1%2F2%22-13&amp;showAll=Category%20Attributes.Finish,Category%20Attributes.Type,Category%20Attributes.Dia/Thread%20Size&amp;categoryId=608621&amp;productFamilyId=30629&amp;sortBy=Best%20Match&amp;includeSuggestedFilters=false" TargetMode="External"/><Relationship Id="rId238" Type="http://schemas.openxmlformats.org/officeDocument/2006/relationships/hyperlink" Target="https://www.mcmaster.com/98023A035/" TargetMode="External"/><Relationship Id="rId259" Type="http://schemas.openxmlformats.org/officeDocument/2006/relationships/hyperlink" Target="https://www.mcmaster.com/92624A281/" TargetMode="External"/><Relationship Id="rId23" Type="http://schemas.openxmlformats.org/officeDocument/2006/relationships/hyperlink" Target="https://www.fastenal.com/product/Fasteners/Nuts/Hex%2520Nuts?Category%20Attributes.Dia/Thread%20Size=7%2F16%22-14&amp;Category%20Attributes.Finish=Zinc&amp;Category%20Attributes.Type=Hex%20Nut&amp;showAll=Category%20Attributes.Dia/Thread%20Size,Category%20Attributes.Finish,Category%20Attributes.Type&amp;categoryId=608621&amp;productFamilyId=30629&amp;sortBy=Best%20Match&amp;includeSuggestedFilters=false" TargetMode="External"/><Relationship Id="rId119" Type="http://schemas.openxmlformats.org/officeDocument/2006/relationships/hyperlink" Target="https://www.fastenal.com/product?query=91143101&amp;fsi=1" TargetMode="External"/><Relationship Id="rId270" Type="http://schemas.openxmlformats.org/officeDocument/2006/relationships/hyperlink" Target="https://www.huyett.com/3002500250-1000" TargetMode="External"/><Relationship Id="rId291" Type="http://schemas.openxmlformats.org/officeDocument/2006/relationships/hyperlink" Target="https://www.allorings.com/configurator-qty" TargetMode="External"/><Relationship Id="rId44" Type="http://schemas.openxmlformats.org/officeDocument/2006/relationships/hyperlink" Target="https://www.fastenal.com/product/details/0437820" TargetMode="External"/><Relationship Id="rId65" Type="http://schemas.openxmlformats.org/officeDocument/2006/relationships/hyperlink" Target="https://www.motion.com/products/sku/00633352" TargetMode="External"/><Relationship Id="rId86" Type="http://schemas.openxmlformats.org/officeDocument/2006/relationships/hyperlink" Target="https://www.grainger.com/product/GRAINGER-APPROVED-Hex-Head-Cap-Screw-Steel-41UE27" TargetMode="External"/><Relationship Id="rId130" Type="http://schemas.openxmlformats.org/officeDocument/2006/relationships/hyperlink" Target="https://www.fastenal.com/product?query=33631&amp;fsi=1" TargetMode="External"/><Relationship Id="rId151" Type="http://schemas.openxmlformats.org/officeDocument/2006/relationships/hyperlink" Target="https://www.grainger.com/product/GRAINGER-APPROVED-Flat-Washer-For-Screw-Size-6RPR6" TargetMode="External"/><Relationship Id="rId172" Type="http://schemas.openxmlformats.org/officeDocument/2006/relationships/hyperlink" Target="https://www.fastenal.com/product?query=66928&amp;fsi=1" TargetMode="External"/><Relationship Id="rId193" Type="http://schemas.openxmlformats.org/officeDocument/2006/relationships/hyperlink" Target="https://www.skf.com/us/products/rolling-bearings/accessories/lock-nuts/keyway/productid-W%2016" TargetMode="External"/><Relationship Id="rId207" Type="http://schemas.openxmlformats.org/officeDocument/2006/relationships/hyperlink" Target="https://www.mcmaster.com/90502A031/" TargetMode="External"/><Relationship Id="rId228" Type="http://schemas.openxmlformats.org/officeDocument/2006/relationships/hyperlink" Target="https://www.mcmaster.com/97042A112/" TargetMode="External"/><Relationship Id="rId249" Type="http://schemas.openxmlformats.org/officeDocument/2006/relationships/hyperlink" Target="https://www.mcmaster.com/92941A726/" TargetMode="External"/><Relationship Id="rId13" Type="http://schemas.openxmlformats.org/officeDocument/2006/relationships/hyperlink" Target="https://ph.parker.com/us/en/product/brass-compression-fittings/169c-4-2" TargetMode="External"/><Relationship Id="rId109" Type="http://schemas.openxmlformats.org/officeDocument/2006/relationships/hyperlink" Target="https://www.mcmaster.com/44615K441/" TargetMode="External"/><Relationship Id="rId260" Type="http://schemas.openxmlformats.org/officeDocument/2006/relationships/hyperlink" Target="https://www1.mcmaster.com/98870A395/" TargetMode="External"/><Relationship Id="rId281" Type="http://schemas.openxmlformats.org/officeDocument/2006/relationships/hyperlink" Target="https://www.allorings.com/configurator-qty" TargetMode="External"/><Relationship Id="rId34" Type="http://schemas.openxmlformats.org/officeDocument/2006/relationships/hyperlink" Target="https://www.fastenal.com/product/details/922205743" TargetMode="External"/><Relationship Id="rId55" Type="http://schemas.openxmlformats.org/officeDocument/2006/relationships/hyperlink" Target="https://www.mcmaster.com/5185N131/" TargetMode="External"/><Relationship Id="rId76" Type="http://schemas.openxmlformats.org/officeDocument/2006/relationships/hyperlink" Target="https://www.grainger.com/product/GRAINGER-APPROVED-Hex-Head-Cap-Screw-Steel-22RY31" TargetMode="External"/><Relationship Id="rId97" Type="http://schemas.openxmlformats.org/officeDocument/2006/relationships/hyperlink" Target="https://www.grainger.com/product/GRAINGER-APPROVED-Hex-Head-Cap-Screw-Steel-5JTU1" TargetMode="External"/><Relationship Id="rId120" Type="http://schemas.openxmlformats.org/officeDocument/2006/relationships/hyperlink" Target="https://www.grainger.com/product/GRAINGER-APPROVED-Hex-Head-Cap-Screw-Steel-22RY12" TargetMode="External"/><Relationship Id="rId141" Type="http://schemas.openxmlformats.org/officeDocument/2006/relationships/hyperlink" Target="https://www.mcmaster.com/93882A581/" TargetMode="External"/><Relationship Id="rId7" Type="http://schemas.openxmlformats.org/officeDocument/2006/relationships/hyperlink" Target="https://img.fastenal.com/catalog_pages/2013/01-198.pdf?_ga=2.19953082.341277210.1686201553-1220395008.1685956386" TargetMode="External"/><Relationship Id="rId162" Type="http://schemas.openxmlformats.org/officeDocument/2006/relationships/hyperlink" Target="https://www.grainger.com/product/GRAINGER-APPROVED-Hex-Head-Cap-Screw-Steel-22RY59" TargetMode="External"/><Relationship Id="rId183" Type="http://schemas.openxmlformats.org/officeDocument/2006/relationships/hyperlink" Target="https://www.fastenal.com/product/details/1173461" TargetMode="External"/><Relationship Id="rId218" Type="http://schemas.openxmlformats.org/officeDocument/2006/relationships/hyperlink" Target="https://ph.parker.com/us/en/product/nitrile-70-durometer-o-ring-ul-approved-n1499-70/n1499-2-264" TargetMode="External"/><Relationship Id="rId239" Type="http://schemas.openxmlformats.org/officeDocument/2006/relationships/hyperlink" Target="https://www.mcmaster.com/98026A118/" TargetMode="External"/><Relationship Id="rId250" Type="http://schemas.openxmlformats.org/officeDocument/2006/relationships/hyperlink" Target="https://www.huyett.com/3002500250-3000" TargetMode="External"/><Relationship Id="rId271" Type="http://schemas.openxmlformats.org/officeDocument/2006/relationships/hyperlink" Target="https://www.huyett.com/7003750375-2125" TargetMode="External"/><Relationship Id="rId292" Type="http://schemas.openxmlformats.org/officeDocument/2006/relationships/hyperlink" Target="https://www.americanring.com/products/snap-ring.aspx?item=5000-281" TargetMode="External"/><Relationship Id="rId24" Type="http://schemas.openxmlformats.org/officeDocument/2006/relationships/hyperlink" Target="https://www.fastenal.com/product?query=75132&amp;fsi=1" TargetMode="External"/><Relationship Id="rId45" Type="http://schemas.openxmlformats.org/officeDocument/2006/relationships/hyperlink" Target="https://www.mcmaster.com/93882A225/" TargetMode="External"/><Relationship Id="rId66" Type="http://schemas.openxmlformats.org/officeDocument/2006/relationships/hyperlink" Target="https://www.fastenal.com/product/details/0424508" TargetMode="External"/><Relationship Id="rId87" Type="http://schemas.openxmlformats.org/officeDocument/2006/relationships/hyperlink" Target="https://www.grainger.com/product/GRAINGER-APPROVED-Hex-Head-Cap-Screw-Steel-22RY26" TargetMode="External"/><Relationship Id="rId110" Type="http://schemas.openxmlformats.org/officeDocument/2006/relationships/hyperlink" Target="https://www.mcmaster.com/44615K451/" TargetMode="External"/><Relationship Id="rId131" Type="http://schemas.openxmlformats.org/officeDocument/2006/relationships/hyperlink" Target="https://www.mcmaster.com/92323A512/" TargetMode="External"/><Relationship Id="rId152" Type="http://schemas.openxmlformats.org/officeDocument/2006/relationships/hyperlink" Target="https://www.grainger.com/category/fasteners/threaded-rods-studs/fully-threaded-rods-studs?attrs=Material%7CSteel~~Overall+Length%7C2+in~~Thread+Size%7C5%2F8+in%7C5%2F8%22-11&amp;filters=attrs&amp;gwwRemoveElement=true" TargetMode="External"/><Relationship Id="rId173" Type="http://schemas.openxmlformats.org/officeDocument/2006/relationships/hyperlink" Target="https://www.fastenal.com/product/details/71067" TargetMode="External"/><Relationship Id="rId194" Type="http://schemas.openxmlformats.org/officeDocument/2006/relationships/hyperlink" Target="https://www.huyett.com/sh-315" TargetMode="External"/><Relationship Id="rId208" Type="http://schemas.openxmlformats.org/officeDocument/2006/relationships/hyperlink" Target="https://www.grainger.com/product/Hex-Head-Cap-Screw-Steel-30Z861" TargetMode="External"/><Relationship Id="rId229" Type="http://schemas.openxmlformats.org/officeDocument/2006/relationships/hyperlink" Target="https://www.mcmaster.com/90419A460/" TargetMode="External"/><Relationship Id="rId240" Type="http://schemas.openxmlformats.org/officeDocument/2006/relationships/hyperlink" Target="https://www.huyett.com/n-06" TargetMode="External"/><Relationship Id="rId261" Type="http://schemas.openxmlformats.org/officeDocument/2006/relationships/hyperlink" Target="https://www.huyett.com/3002500375-2000" TargetMode="External"/><Relationship Id="rId14" Type="http://schemas.openxmlformats.org/officeDocument/2006/relationships/hyperlink" Target="https://www.fastenal.com/product/details/466200" TargetMode="External"/><Relationship Id="rId35" Type="http://schemas.openxmlformats.org/officeDocument/2006/relationships/hyperlink" Target="https://www.fastenal.com/product/Fasteners/Nuts/Hex%2520Nuts?Category%20Attributes.Dia/Thread%20Size=5%2F16%22-18&amp;Category%20Attributes.Finish=Zinc&amp;Category%20Attributes.Type=Hex%20Nut&amp;showAll=Category%20Attributes.Dia/Thread%20Size,Category%20Attributes.Finish,Category%20Attributes.Type&amp;categoryId=608621&amp;sortBy=Best%20Match&amp;includeSuggestedFilters=false" TargetMode="External"/><Relationship Id="rId56" Type="http://schemas.openxmlformats.org/officeDocument/2006/relationships/hyperlink" Target="https://www.mcmaster.com/5185N129/" TargetMode="External"/><Relationship Id="rId77" Type="http://schemas.openxmlformats.org/officeDocument/2006/relationships/hyperlink" Target="https://www.grainger.com/product/GRAINGER-APPROVED-Hex-Head-Cap-Screw-Steel-22RY33" TargetMode="External"/><Relationship Id="rId100" Type="http://schemas.openxmlformats.org/officeDocument/2006/relationships/hyperlink" Target="https://www.fastenal.com/product/details/75011" TargetMode="External"/><Relationship Id="rId282" Type="http://schemas.openxmlformats.org/officeDocument/2006/relationships/hyperlink" Target="https://www.allorings.com/configurator-qty" TargetMode="External"/><Relationship Id="rId8" Type="http://schemas.openxmlformats.org/officeDocument/2006/relationships/hyperlink" Target="https://img.fastenal.com/catalog_pages/2013/01-198.pdf?_ga=2.48083109.341277210.1686201553-1220395008.1685956386" TargetMode="External"/><Relationship Id="rId98" Type="http://schemas.openxmlformats.org/officeDocument/2006/relationships/hyperlink" Target="https://www.grainger.com/product/GRAINGER-APPROVED-Hex-Head-Cap-Screw-Steel-22RY58" TargetMode="External"/><Relationship Id="rId121" Type="http://schemas.openxmlformats.org/officeDocument/2006/relationships/hyperlink" Target="https://www.grainger.com/product/GRAINGER-APPROVED-Hex-Head-Cap-Screw-Steel-22RY13" TargetMode="External"/><Relationship Id="rId142" Type="http://schemas.openxmlformats.org/officeDocument/2006/relationships/hyperlink" Target="https://www.fastenal.com/product?query=77114&amp;fsi=1" TargetMode="External"/><Relationship Id="rId163" Type="http://schemas.openxmlformats.org/officeDocument/2006/relationships/hyperlink" Target="https://www.fastenermart.com/SH132-6062.html" TargetMode="External"/><Relationship Id="rId184" Type="http://schemas.openxmlformats.org/officeDocument/2006/relationships/hyperlink" Target="https://www.huyett.com/sh-162-ss" TargetMode="External"/><Relationship Id="rId219" Type="http://schemas.openxmlformats.org/officeDocument/2006/relationships/hyperlink" Target="https://www.allorings.com/configurator-cpd" TargetMode="External"/><Relationship Id="rId230" Type="http://schemas.openxmlformats.org/officeDocument/2006/relationships/hyperlink" Target="https://www.mcmaster.com/93190A303/" TargetMode="External"/><Relationship Id="rId251" Type="http://schemas.openxmlformats.org/officeDocument/2006/relationships/hyperlink" Target="https://www.huyett.com/3003120375-2250" TargetMode="External"/><Relationship Id="rId25" Type="http://schemas.openxmlformats.org/officeDocument/2006/relationships/hyperlink" Target="https://www.mcmaster.com/44605K222/" TargetMode="External"/><Relationship Id="rId46" Type="http://schemas.openxmlformats.org/officeDocument/2006/relationships/hyperlink" Target="https://www.fastenal.com/product/details/71075" TargetMode="External"/><Relationship Id="rId67" Type="http://schemas.openxmlformats.org/officeDocument/2006/relationships/hyperlink" Target="https://www.smalley.com/ring/fse-0125" TargetMode="External"/><Relationship Id="rId272" Type="http://schemas.openxmlformats.org/officeDocument/2006/relationships/hyperlink" Target="https://www.mcmaster.com/98870A490/" TargetMode="External"/><Relationship Id="rId293" Type="http://schemas.openxmlformats.org/officeDocument/2006/relationships/hyperlink" Target="https://www.grainger.com/product/Hex-Head-Cap-Screw-Steel-30Z574" TargetMode="External"/><Relationship Id="rId88" Type="http://schemas.openxmlformats.org/officeDocument/2006/relationships/hyperlink" Target="https://www.fastenal.com/product/details/12310" TargetMode="External"/><Relationship Id="rId111" Type="http://schemas.openxmlformats.org/officeDocument/2006/relationships/hyperlink" Target="https://www.grainger.com/category/fasteners/bolts-screws/hex-head-bolts/standard-hex-head-cap-screws?attrs=Fastener+Length%7C1-3%2F4+in~~Material+Grade%2FClass%7CGrade+5~~Material%7CSteel~~System+of+Measurement%7CInch~~Thread+Size%7C1%2F2%22-13&amp;filters=attrs" TargetMode="External"/><Relationship Id="rId132" Type="http://schemas.openxmlformats.org/officeDocument/2006/relationships/hyperlink" Target="https://www.grainger.com/product/GRAINGER-APPROVED-Flat-Washer-For-Screw-Size-6RPR5" TargetMode="External"/><Relationship Id="rId153" Type="http://schemas.openxmlformats.org/officeDocument/2006/relationships/hyperlink" Target="https://www.grainger.com/product/GRAINGER-APPROVED-Hex-Nut-5-8-11-Thread-1XA32" TargetMode="External"/><Relationship Id="rId174" Type="http://schemas.openxmlformats.org/officeDocument/2006/relationships/hyperlink" Target="https://www.mcmaster.com/9714K126/" TargetMode="External"/><Relationship Id="rId195" Type="http://schemas.openxmlformats.org/officeDocument/2006/relationships/hyperlink" Target="https://www.mfsupply.com/1-2-13-X-1-3-4-Hex-Head-Cap-Screw-Steel-Zinc-p/hh1-fslash-2cx1.75.htm" TargetMode="External"/><Relationship Id="rId209" Type="http://schemas.openxmlformats.org/officeDocument/2006/relationships/hyperlink" Target="https://boltdepot.com/Product-Details?product=10633" TargetMode="External"/><Relationship Id="rId220" Type="http://schemas.openxmlformats.org/officeDocument/2006/relationships/hyperlink" Target="https://www.theoringstore.com/store/index.php?main_page=product_info&amp;products_id=4892" TargetMode="External"/><Relationship Id="rId241" Type="http://schemas.openxmlformats.org/officeDocument/2006/relationships/hyperlink" Target="https://www.huyett.com/n-08" TargetMode="External"/><Relationship Id="rId15" Type="http://schemas.openxmlformats.org/officeDocument/2006/relationships/hyperlink" Target="https://www.fastenal.com/product/details/466228" TargetMode="External"/><Relationship Id="rId36" Type="http://schemas.openxmlformats.org/officeDocument/2006/relationships/hyperlink" Target="https://www.fastenal.com/product/Fasteners/Nuts/Hex%2520Nuts?query=NUT&amp;Category%20Attributes.Dia/Thread%20Size=7%2F16%22-20&amp;Category%20Attributes.Finish=Zinc&amp;Category%20Attributes.Type=Hex%20Nut&amp;showAll=Category%20Attributes.Finish,Category%20Attributes.Dia/Thread%20Size,Category%20Attributes.Type&amp;categoryId=608621&amp;productFamilyId=30629&amp;sortBy=Best%20Match&amp;includeSuggestedFilters=false" TargetMode="External"/><Relationship Id="rId57" Type="http://schemas.openxmlformats.org/officeDocument/2006/relationships/hyperlink" Target="https://www.fastenal.com/product/details/0123529" TargetMode="External"/><Relationship Id="rId262" Type="http://schemas.openxmlformats.org/officeDocument/2006/relationships/hyperlink" Target="https://www.mcmaster.com/98870A296/" TargetMode="External"/><Relationship Id="rId283" Type="http://schemas.openxmlformats.org/officeDocument/2006/relationships/hyperlink" Target="https://www.allorings.com/configurator-qty" TargetMode="External"/><Relationship Id="rId78" Type="http://schemas.openxmlformats.org/officeDocument/2006/relationships/hyperlink" Target="https://www.grainger.com/product/GRAINGER-APPROVED-Hex-Head-Cap-Screw-Steel-22RY60" TargetMode="External"/><Relationship Id="rId99" Type="http://schemas.openxmlformats.org/officeDocument/2006/relationships/hyperlink" Target="https://www.grainger.com/product/GRAINGER-APPROVED-Hex-Head-Cap-Screw-Steel-22RY62" TargetMode="External"/><Relationship Id="rId101" Type="http://schemas.openxmlformats.org/officeDocument/2006/relationships/hyperlink" Target="https://www.grainger.com/product/6MM62?gucid=N:N:PS:Paid:GGL:CSM-2296:9JMEDM:20500731&amp;gad_source=1&amp;gclid=CjwKCAjwl4yyBhAgEiwADSEjeCBWeB0rFt_GFBT9Rgb6bHxZQVI9rjBhYHgFrSWO1Jj_0jNWF9GSyRoCeF4QAvD_BwE&amp;gclsrc=aw.ds" TargetMode="External"/><Relationship Id="rId122" Type="http://schemas.openxmlformats.org/officeDocument/2006/relationships/hyperlink" Target="https://www.fastenal.com/product/details/0424336" TargetMode="External"/><Relationship Id="rId143" Type="http://schemas.openxmlformats.org/officeDocument/2006/relationships/hyperlink" Target="https://www.fastenal.com/product?query=0161236&amp;fsi=1" TargetMode="External"/><Relationship Id="rId164" Type="http://schemas.openxmlformats.org/officeDocument/2006/relationships/hyperlink" Target="https://www.grainger.com/category/fasteners/bolts-screws/hex-head-bolts/standard-hex-head-cap-screws?attrs=Fastener+Length%7C1-1%2F8+in~~Material%7CStainless+Steel~~Thread+Size%7C3%2F8%22-16&amp;filters=attrs" TargetMode="External"/><Relationship Id="rId185" Type="http://schemas.openxmlformats.org/officeDocument/2006/relationships/hyperlink" Target="https://www.huyett.com/gps-0125-0750-u?msclkid=236ae7cedafd10048f66818c90a2d7f9&amp;utm_source=bing&amp;utm_medium=cpc&amp;utm_campaign=Shopping%202024&amp;utm_term=4585238372748421&amp;utm_content=Ad%20group%20%231" TargetMode="External"/><Relationship Id="rId9" Type="http://schemas.openxmlformats.org/officeDocument/2006/relationships/hyperlink" Target="https://www.fastenal.com/product/details/466201" TargetMode="External"/><Relationship Id="rId210" Type="http://schemas.openxmlformats.org/officeDocument/2006/relationships/hyperlink" Target="https://www.theoringstore.com/store/index.php?main_page=product_info&amp;products_id=4951" TargetMode="External"/><Relationship Id="rId26" Type="http://schemas.openxmlformats.org/officeDocument/2006/relationships/hyperlink" Target="https://www.mcmaster.com/44605k663/" TargetMode="External"/><Relationship Id="rId231" Type="http://schemas.openxmlformats.org/officeDocument/2006/relationships/hyperlink" Target="https://www.mcmaster.com/92865A714/" TargetMode="External"/><Relationship Id="rId252" Type="http://schemas.openxmlformats.org/officeDocument/2006/relationships/hyperlink" Target="https://www.mcmaster.com/92865A800/" TargetMode="External"/><Relationship Id="rId273" Type="http://schemas.openxmlformats.org/officeDocument/2006/relationships/hyperlink" Target="https://www.mcmaster.com/1295N513/" TargetMode="External"/><Relationship Id="rId47" Type="http://schemas.openxmlformats.org/officeDocument/2006/relationships/hyperlink" Target="https://www.skf.com/us/products/rolling-bearings/accessories/lock-nuts/keyway/productid-W%2014" TargetMode="External"/><Relationship Id="rId68" Type="http://schemas.openxmlformats.org/officeDocument/2006/relationships/hyperlink" Target="https://www.smalley.com/ring/fse-0162" TargetMode="External"/><Relationship Id="rId89" Type="http://schemas.openxmlformats.org/officeDocument/2006/relationships/hyperlink" Target="https://www.fastenal.com/product/details/12313" TargetMode="External"/><Relationship Id="rId112" Type="http://schemas.openxmlformats.org/officeDocument/2006/relationships/hyperlink" Target="https://www.mcmaster.com/44615K551/" TargetMode="External"/><Relationship Id="rId133" Type="http://schemas.openxmlformats.org/officeDocument/2006/relationships/hyperlink" Target="https://www.mcmaster.com/94744A446/" TargetMode="External"/><Relationship Id="rId154" Type="http://schemas.openxmlformats.org/officeDocument/2006/relationships/hyperlink" Target="https://www.fastenal.com/product/details/71071" TargetMode="External"/><Relationship Id="rId175" Type="http://schemas.openxmlformats.org/officeDocument/2006/relationships/hyperlink" Target="https://www.grainger.com/product/22TC68?gucid=N:N:PS:Paid:GGL:CSM-2295:4P7A1P:20501231&amp;gad_source=1&amp;gclid=Cj0KCQiAzoeuBhDqARIsAMdH14E7CA3e6Xo3gwNVqg7YoIb3rOk8CnxDMK4e8oUg14vgSZRwx-9SelsaAmBDEALw_wcB&amp;gclsrc=aw.ds" TargetMode="External"/><Relationship Id="rId196" Type="http://schemas.openxmlformats.org/officeDocument/2006/relationships/hyperlink" Target="https://www.grainger.com/product/Lock-Washer-For-Screw-Size-22UJ92" TargetMode="External"/><Relationship Id="rId200" Type="http://schemas.openxmlformats.org/officeDocument/2006/relationships/hyperlink" Target="https://www.o-ring-stocks.com/o-ring-118x5.3-viton-fkm-fpm-90-shore-a-black-ses-338604" TargetMode="External"/><Relationship Id="rId16" Type="http://schemas.openxmlformats.org/officeDocument/2006/relationships/hyperlink" Target="https://www.fastenal.com/product?query=0179802&amp;fsi=1" TargetMode="External"/><Relationship Id="rId221" Type="http://schemas.openxmlformats.org/officeDocument/2006/relationships/hyperlink" Target="https://www.allorings.com/configurator-qty" TargetMode="External"/><Relationship Id="rId242" Type="http://schemas.openxmlformats.org/officeDocument/2006/relationships/hyperlink" Target="https://www.mcmaster.com/91845A105/" TargetMode="External"/><Relationship Id="rId263" Type="http://schemas.openxmlformats.org/officeDocument/2006/relationships/hyperlink" Target="https://www.mcmaster.com/92624A404/" TargetMode="External"/><Relationship Id="rId284" Type="http://schemas.openxmlformats.org/officeDocument/2006/relationships/hyperlink" Target="https://www.allorings.com/configurator-qty" TargetMode="External"/><Relationship Id="rId37" Type="http://schemas.openxmlformats.org/officeDocument/2006/relationships/hyperlink" Target="https://www.fastenal.com/product/Fasteners/Nuts/Hex%2520Nuts?Category%20Attributes.Dia/Thread%20Size=3%2F8%22-16&amp;Category%20Attributes.Finish=Zinc&amp;Category%20Attributes.Type=Hex%20Nut&amp;showAll=Category%20Attributes.Dia/Thread%20Size,Category%20Attributes.Finish,Category%20Attributes.Type&amp;categoryId=608621&amp;productFamilyId=30629&amp;sortBy=Best%20Match&amp;includeSuggestedFilters=false" TargetMode="External"/><Relationship Id="rId58" Type="http://schemas.openxmlformats.org/officeDocument/2006/relationships/hyperlink" Target="https://www.fastenal.com/product/details/69317" TargetMode="External"/><Relationship Id="rId79" Type="http://schemas.openxmlformats.org/officeDocument/2006/relationships/hyperlink" Target="https://www.grainger.com/product/GRAINGER-APPROVED-Hex-Head-Cap-Screw-Steel-22RY79" TargetMode="External"/><Relationship Id="rId102" Type="http://schemas.openxmlformats.org/officeDocument/2006/relationships/hyperlink" Target="https://www.grainger.com/category/fasteners/bolts-screws/hex-head-bolts/standard-hex-head-cap-screws?attrs=Fastener+Length%7C7%2F8+in~~Material+Grade%2FClass%7CGrade+2~~Thread+Size%7C5%2F16%22-18&amp;filters=attrs" TargetMode="External"/><Relationship Id="rId123" Type="http://schemas.openxmlformats.org/officeDocument/2006/relationships/hyperlink" Target="https://www.fastenal.com/product/details/33625" TargetMode="External"/><Relationship Id="rId144" Type="http://schemas.openxmlformats.org/officeDocument/2006/relationships/hyperlink" Target="https://www.holo-krome.com/uploads/7/2/7/5/72754089/hk_ferry_cap_12_point_cap_screws.pdf" TargetMode="External"/><Relationship Id="rId90" Type="http://schemas.openxmlformats.org/officeDocument/2006/relationships/hyperlink" Target="https://www.fastenal.com/product?query=0172269&amp;fsi=1" TargetMode="External"/><Relationship Id="rId165" Type="http://schemas.openxmlformats.org/officeDocument/2006/relationships/hyperlink" Target="https://www.grainger.com/category/fasteners/nuts/hex-nuts?attrs=Finish+Type%7CPlain~~Hex+Type%7CStandard+Hex~~Material%7CStainless+Steel~~System+of+Measurement%7CInch~~Thread+Size%7C3%2F8%22-16&amp;filters=attrs" TargetMode="External"/><Relationship Id="rId186" Type="http://schemas.openxmlformats.org/officeDocument/2006/relationships/hyperlink" Target="https://www.huyett.com/gps-0125-0375-a?msclkid=ba1cf071215718b227639633713bc76a&amp;utm_source=bing&amp;utm_medium=cpc&amp;utm_campaign=Shopping%202024&amp;utm_term=4585238372748421&amp;utm_content=Ad%20group%20%231" TargetMode="External"/><Relationship Id="rId211" Type="http://schemas.openxmlformats.org/officeDocument/2006/relationships/hyperlink" Target="https://www.fastenal.com/product/details/1136116" TargetMode="External"/><Relationship Id="rId232" Type="http://schemas.openxmlformats.org/officeDocument/2006/relationships/hyperlink" Target="https://www.mcmaster.com/4429K314/" TargetMode="External"/><Relationship Id="rId253" Type="http://schemas.openxmlformats.org/officeDocument/2006/relationships/hyperlink" Target="https://www.mcmaster.com/92190A163/" TargetMode="External"/><Relationship Id="rId274" Type="http://schemas.openxmlformats.org/officeDocument/2006/relationships/hyperlink" Target="https://www.mcmaster.com/95045A036/" TargetMode="External"/><Relationship Id="rId27" Type="http://schemas.openxmlformats.org/officeDocument/2006/relationships/hyperlink" Target="https://www.mcmaster.com/4627k333/" TargetMode="External"/><Relationship Id="rId48" Type="http://schemas.openxmlformats.org/officeDocument/2006/relationships/hyperlink" Target="https://www.skf.com/us/products/rolling-bearings/accessories/lock-nuts/keyway/productid-W%2012" TargetMode="External"/><Relationship Id="rId69" Type="http://schemas.openxmlformats.org/officeDocument/2006/relationships/hyperlink" Target="https://www.smalley.com/ring/fse-0212" TargetMode="External"/><Relationship Id="rId113" Type="http://schemas.openxmlformats.org/officeDocument/2006/relationships/hyperlink" Target="https://www.mcmaster.com/44615K422/" TargetMode="External"/><Relationship Id="rId134" Type="http://schemas.openxmlformats.org/officeDocument/2006/relationships/hyperlink" Target="https://www.mcmaster.com/91236A636/" TargetMode="External"/><Relationship Id="rId80" Type="http://schemas.openxmlformats.org/officeDocument/2006/relationships/hyperlink" Target="https://www.grainger.com/product/GRAINGER-APPROVED-Hex-Head-Cap-Screw-Steel-22RZ03" TargetMode="External"/><Relationship Id="rId155" Type="http://schemas.openxmlformats.org/officeDocument/2006/relationships/hyperlink" Target="https://www.fastenal.com/product?query=14105&amp;fsi=1" TargetMode="External"/><Relationship Id="rId176" Type="http://schemas.openxmlformats.org/officeDocument/2006/relationships/hyperlink" Target="https://www.grainger.com/product/5DB31?gucid=N:N:PS:Paid:GGL:CSM-2295:4P7A1P:20501231&amp;gad_source=1&amp;gclid=Cj0KCQiAzoeuBhDqARIsAMdH14GqGCpuAYmLABcr3TT8ICs_URe3rp1PuWmnIUX1t-vFJ1NBtZRw2rYaAi4yEALw_wcB&amp;gclsrc=aw.ds" TargetMode="External"/><Relationship Id="rId197" Type="http://schemas.openxmlformats.org/officeDocument/2006/relationships/hyperlink" Target="https://www.grainger.com/product/Hex-Head-Cap-Screw-Stainless-24K877" TargetMode="External"/><Relationship Id="rId201" Type="http://schemas.openxmlformats.org/officeDocument/2006/relationships/hyperlink" Target="https://www.o-ring-stocks.com/o-ring-118x5.3-viton-fkm-fpm-90-shore-a-black-ses-338604" TargetMode="External"/><Relationship Id="rId222" Type="http://schemas.openxmlformats.org/officeDocument/2006/relationships/hyperlink" Target="https://www.allorings.com/configurator-qty" TargetMode="External"/><Relationship Id="rId243" Type="http://schemas.openxmlformats.org/officeDocument/2006/relationships/hyperlink" Target="https://www.mcmaster.com/91845A029/" TargetMode="External"/><Relationship Id="rId264" Type="http://schemas.openxmlformats.org/officeDocument/2006/relationships/hyperlink" Target="https://www.mcmaster.com/98870A430/" TargetMode="External"/><Relationship Id="rId285" Type="http://schemas.openxmlformats.org/officeDocument/2006/relationships/hyperlink" Target="https://www.allorings.com/configurator-qty" TargetMode="External"/><Relationship Id="rId17" Type="http://schemas.openxmlformats.org/officeDocument/2006/relationships/hyperlink" Target="https://www.fastenal.com/product/details/75153" TargetMode="External"/><Relationship Id="rId38" Type="http://schemas.openxmlformats.org/officeDocument/2006/relationships/hyperlink" Target="https://www.fastenal.com/product/Fasteners/Nuts/Hex%2520Nuts?Category%20Attributes.Dia/Thread%20Size=7%2F16%22-20&amp;Category%20Attributes.Grade=316&amp;Category%20Attributes.Type=Hex%20Nut&amp;showAll=Category%20Attributes.Dia/Thread%20Size,Category%20Attributes.Grade,Category%20Attributes.Type&amp;categoryId=608621&amp;productFamilyId=30628&amp;sortBy=Best%20Match&amp;includeSuggestedFilters=false" TargetMode="External"/><Relationship Id="rId59" Type="http://schemas.openxmlformats.org/officeDocument/2006/relationships/hyperlink" Target="https://www.fastenal.com/product/details/0157582" TargetMode="External"/><Relationship Id="rId103" Type="http://schemas.openxmlformats.org/officeDocument/2006/relationships/hyperlink" Target="https://www.grainger.com/product/GRAINGER-APPROVED-Hex-Head-Cap-Screw-Steel-22RY78" TargetMode="External"/><Relationship Id="rId124" Type="http://schemas.openxmlformats.org/officeDocument/2006/relationships/hyperlink" Target="https://www.fastenal.com/product/details/33619" TargetMode="External"/><Relationship Id="rId70" Type="http://schemas.openxmlformats.org/officeDocument/2006/relationships/hyperlink" Target="https://www.motion.com/products/sku/00652779;origin=sayt" TargetMode="External"/><Relationship Id="rId91" Type="http://schemas.openxmlformats.org/officeDocument/2006/relationships/hyperlink" Target="https://www.mcmaster.com/90251A181/" TargetMode="External"/><Relationship Id="rId145" Type="http://schemas.openxmlformats.org/officeDocument/2006/relationships/hyperlink" Target="https://www.mcmaster.com/90272A189/" TargetMode="External"/><Relationship Id="rId166" Type="http://schemas.openxmlformats.org/officeDocument/2006/relationships/hyperlink" Target="https://www.americanring.com/products/snap-ring.aspx?item=5002-393" TargetMode="External"/><Relationship Id="rId187" Type="http://schemas.openxmlformats.org/officeDocument/2006/relationships/hyperlink" Target="https://www.huyett.com/gp-0187-1125-a" TargetMode="External"/><Relationship Id="rId1" Type="http://schemas.openxmlformats.org/officeDocument/2006/relationships/hyperlink" Target="https://www.fastenal.com/product?query=0425913&amp;fsi=1" TargetMode="External"/><Relationship Id="rId212" Type="http://schemas.openxmlformats.org/officeDocument/2006/relationships/hyperlink" Target="https://www.rotorclip.com/product/SHR-118/" TargetMode="External"/><Relationship Id="rId233" Type="http://schemas.openxmlformats.org/officeDocument/2006/relationships/hyperlink" Target="https://www.mcmaster.com/products/pipe-plugs/thread-type~npt/pipe-size~1-4/system-of-measurement~inch/drive-style~external-hex/material~brass-2/material~brass-1/fitting-type~plug/" TargetMode="External"/><Relationship Id="rId254" Type="http://schemas.openxmlformats.org/officeDocument/2006/relationships/hyperlink" Target="https://www.grainger.com/product/Hex-Head-Cap-Screw-Steel-22TA18" TargetMode="External"/><Relationship Id="rId28" Type="http://schemas.openxmlformats.org/officeDocument/2006/relationships/hyperlink" Target="https://www.mcmaster.com/4638K824/" TargetMode="External"/><Relationship Id="rId49" Type="http://schemas.openxmlformats.org/officeDocument/2006/relationships/hyperlink" Target="https://www.skf.com/us/products/rolling-bearings/accessories/lock-nuts/keyway/productid-W%2013" TargetMode="External"/><Relationship Id="rId114" Type="http://schemas.openxmlformats.org/officeDocument/2006/relationships/hyperlink" Target="https://www.grainger.com/product/GRAINGER-APPROVED-Hex-Head-Cap-Screw-Steel-22RY09" TargetMode="External"/><Relationship Id="rId275" Type="http://schemas.openxmlformats.org/officeDocument/2006/relationships/hyperlink" Target="https://www.mcmaster.com/95765A512/" TargetMode="External"/><Relationship Id="rId60" Type="http://schemas.openxmlformats.org/officeDocument/2006/relationships/hyperlink" Target="https://www.huyett.com/hipro-404" TargetMode="External"/><Relationship Id="rId81" Type="http://schemas.openxmlformats.org/officeDocument/2006/relationships/hyperlink" Target="https://www.fastenal.ca/sku/10155?attributeName_0=Length&amp;attributeValue_0=1%22&amp;attributeName_1=Dia%2FThread+Size&amp;attributeValue_1=7%2F16%22-14&amp;attributeName_2=Grade&amp;attributeValue_2=A&amp;pm=31699&amp;catId=600003" TargetMode="External"/><Relationship Id="rId135" Type="http://schemas.openxmlformats.org/officeDocument/2006/relationships/hyperlink" Target="https://www.mcmaster.com/91236A638/" TargetMode="External"/><Relationship Id="rId156" Type="http://schemas.openxmlformats.org/officeDocument/2006/relationships/hyperlink" Target="https://www.grainger.com/category/fasteners/bolts-screws/hex-head-bolts/standard-hex-head-cap-screws?attrs=Fastener+Length%7C2-1%2F4+in~~Material+Grade%2FClass%7CGrade+2~~Material%7CSteel~~System+of+Measurement%7CInch~~Thread+Size%7C5%2F8%22-11&amp;filters=attrs" TargetMode="External"/><Relationship Id="rId177" Type="http://schemas.openxmlformats.org/officeDocument/2006/relationships/hyperlink" Target="https://www.applied.com/c-brands/c-rotor-clip/sh-293ss/External-SH-Retaining-Ring/p/101469204" TargetMode="External"/><Relationship Id="rId198" Type="http://schemas.openxmlformats.org/officeDocument/2006/relationships/hyperlink" Target="https://www.o-ring-stocks.com/o-ring-95x5.3-viton-fkm-fpm-75-shore-a-brown-ses-143705" TargetMode="External"/><Relationship Id="rId202" Type="http://schemas.openxmlformats.org/officeDocument/2006/relationships/hyperlink" Target="https://www.o-ring-stocks.com/o-ring-69x3.55-viton-fkm-fpm-80-shore-a-black-ses-159252" TargetMode="External"/><Relationship Id="rId223" Type="http://schemas.openxmlformats.org/officeDocument/2006/relationships/hyperlink" Target="https://ph.parker.com/us/en/product/nitrile-70-durometer-o-ring-ul-approved-n1499-70/n1499-2-448" TargetMode="External"/><Relationship Id="rId244" Type="http://schemas.openxmlformats.org/officeDocument/2006/relationships/hyperlink" Target="https://www.mcmaster.com/95462A563/" TargetMode="External"/><Relationship Id="rId18" Type="http://schemas.openxmlformats.org/officeDocument/2006/relationships/hyperlink" Target="https://www.fastenal.com/product?query=75155&amp;fsi=1" TargetMode="External"/><Relationship Id="rId39" Type="http://schemas.openxmlformats.org/officeDocument/2006/relationships/hyperlink" Target="https://www.grainger.com/product/GRAINGER-APPROVED-Square-Head-Plug-Malleable-5P909?opr=Compare" TargetMode="External"/><Relationship Id="rId265" Type="http://schemas.openxmlformats.org/officeDocument/2006/relationships/hyperlink" Target="https://www.mcmaster.com/98870A430/" TargetMode="External"/><Relationship Id="rId286" Type="http://schemas.openxmlformats.org/officeDocument/2006/relationships/hyperlink" Target="https://www.allorings.com/configurator-qty" TargetMode="External"/><Relationship Id="rId50" Type="http://schemas.openxmlformats.org/officeDocument/2006/relationships/hyperlink" Target="https://www.fastenal.com/product?query=11138718&amp;fsi=1" TargetMode="External"/><Relationship Id="rId104" Type="http://schemas.openxmlformats.org/officeDocument/2006/relationships/hyperlink" Target="https://www.grainger.com/product/GRAINGER-APPROVED-Hex-Head-Cap-Screw-Steel-22RY77" TargetMode="External"/><Relationship Id="rId125" Type="http://schemas.openxmlformats.org/officeDocument/2006/relationships/hyperlink" Target="https://www.mcmaster.com/44615K412/" TargetMode="External"/><Relationship Id="rId146" Type="http://schemas.openxmlformats.org/officeDocument/2006/relationships/hyperlink" Target="https://www.grainger.com/product/GRAINGER-APPROVED-Hex-Nut-3-4-10-Thread-26LU60" TargetMode="External"/><Relationship Id="rId167" Type="http://schemas.openxmlformats.org/officeDocument/2006/relationships/hyperlink" Target="https://pipefittingsdirect.com/3-x-2-inch-NPT-Malleable-Iron-Reduction-Bushings" TargetMode="External"/><Relationship Id="rId188" Type="http://schemas.openxmlformats.org/officeDocument/2006/relationships/hyperlink" Target="https://www.mcmaster.com/products/screws/length~2/hex-head-screws~/fastener-head-type~hex/material~stainless-steel-2/18-8-stainless-steel-hex-head-screws-10/head-height~15-32/thread-type~unc/specifications-met~asme-b18-2-1/" TargetMode="External"/><Relationship Id="rId71" Type="http://schemas.openxmlformats.org/officeDocument/2006/relationships/hyperlink" Target="https://www.motion.com/products/sku/00633374;origin=sayt" TargetMode="External"/><Relationship Id="rId92" Type="http://schemas.openxmlformats.org/officeDocument/2006/relationships/hyperlink" Target="https://www.mcmaster.com/92313a533/" TargetMode="External"/><Relationship Id="rId213" Type="http://schemas.openxmlformats.org/officeDocument/2006/relationships/hyperlink" Target="https://ph.parker.com/us/en/product/nitrile-70-durometer-o-ring-ul-approved-n1499-70/n1499-2-245" TargetMode="External"/><Relationship Id="rId234" Type="http://schemas.openxmlformats.org/officeDocument/2006/relationships/hyperlink" Target="https://www.grainger.com/product/Cap-Nut-3-8-24-Thread-6RA34" TargetMode="External"/><Relationship Id="rId2" Type="http://schemas.openxmlformats.org/officeDocument/2006/relationships/hyperlink" Target="https://www.fastenal.com/product/details/1170762" TargetMode="External"/><Relationship Id="rId29" Type="http://schemas.openxmlformats.org/officeDocument/2006/relationships/hyperlink" Target="https://www.mcmaster.com/91855A490/" TargetMode="External"/><Relationship Id="rId255" Type="http://schemas.openxmlformats.org/officeDocument/2006/relationships/hyperlink" Target="https://www.mcmaster.com/91251A845/" TargetMode="External"/><Relationship Id="rId276" Type="http://schemas.openxmlformats.org/officeDocument/2006/relationships/hyperlink" Target="https://www.grainger.com/product/Fully-Threaded-Stud-1-2-13-26LP50" TargetMode="External"/><Relationship Id="rId40" Type="http://schemas.openxmlformats.org/officeDocument/2006/relationships/hyperlink" Target="https://www.fastenal.com/product/details/922980617" TargetMode="External"/><Relationship Id="rId115" Type="http://schemas.openxmlformats.org/officeDocument/2006/relationships/hyperlink" Target="https://www.mcmaster.com/44615K552/" TargetMode="External"/><Relationship Id="rId136" Type="http://schemas.openxmlformats.org/officeDocument/2006/relationships/hyperlink" Target="https://www.fastenal.com/product/Fasteners/Washers/Flat%252520Washers?Category%20Attributes.Material=Steel&amp;Category%20Attributes.Outer%20Diameter=2.000%22&amp;Category%20Attributes.Finish=Plain&amp;Category%20Attributes.Inner%20Diameter=0.812%22&amp;Category%20Attributes.Nominal%20Thickness=0.148%22&amp;Global%20Attributes.MFG%20in%20the%20USA=Y&amp;showAll=Category%20Attributes.Outer%20Diameter,Category%20Attributes.Inner%20Diameter,Category%20Attributes.Nominal%20Thickness,Category%20Attributes.Material,Category%20Attributes.Finish,Global%20Attributes.MFG%20in%20the%20USA&amp;categoryId=600097&amp;sortBy=Best%20Match&amp;includeSuggestedFilters=false" TargetMode="External"/><Relationship Id="rId157" Type="http://schemas.openxmlformats.org/officeDocument/2006/relationships/hyperlink" Target="https://www.grainger.com/category/fasteners/bolts-screws/hex-head-bolts/standard-hex-head-cap-screws?attrs=Fastener+Length%7C3-1%2F2+in~~Material+Grade%2FClass%7CGrade+2~~Thread+Size%7C3%2F8%22-16&amp;filters=attrs" TargetMode="External"/><Relationship Id="rId178" Type="http://schemas.openxmlformats.org/officeDocument/2006/relationships/hyperlink" Target="https://www.applied.com/c-brands/c-rotor-clip/sh-343ss/External-SH-Retaining-Ring/p/101470964" TargetMode="External"/><Relationship Id="rId61" Type="http://schemas.openxmlformats.org/officeDocument/2006/relationships/hyperlink" Target="https://www.fastenal.com/product/details/0157583" TargetMode="External"/><Relationship Id="rId82" Type="http://schemas.openxmlformats.org/officeDocument/2006/relationships/hyperlink" Target="https://www.grainger.com/product/GRAINGER-APPROVED-Hex-Head-Cap-Screw-Steel-22RY63" TargetMode="External"/><Relationship Id="rId199" Type="http://schemas.openxmlformats.org/officeDocument/2006/relationships/hyperlink" Target="https://www.mcmaster.com/94804A335/" TargetMode="External"/><Relationship Id="rId203" Type="http://schemas.openxmlformats.org/officeDocument/2006/relationships/hyperlink" Target="https://www.huyett.com/w-11" TargetMode="External"/><Relationship Id="rId19" Type="http://schemas.openxmlformats.org/officeDocument/2006/relationships/hyperlink" Target="https://www.skf.com/us/products/rolling-bearings/accessories/lock-nuts/keyway/productid-N%2009" TargetMode="External"/><Relationship Id="rId224" Type="http://schemas.openxmlformats.org/officeDocument/2006/relationships/hyperlink" Target="https://ph.parker.com/us/en/product/nitrile-70-durometer-o-ring-ul-approved-n1499-70/n1499-2-452" TargetMode="External"/><Relationship Id="rId245" Type="http://schemas.openxmlformats.org/officeDocument/2006/relationships/hyperlink" Target="https://www.mcmaster.com/93882A225/" TargetMode="External"/><Relationship Id="rId266" Type="http://schemas.openxmlformats.org/officeDocument/2006/relationships/hyperlink" Target="https://www1.mcmaster.com/98870A405/" TargetMode="External"/><Relationship Id="rId287" Type="http://schemas.openxmlformats.org/officeDocument/2006/relationships/hyperlink" Target="https://www.allorings.com/configurator-qty" TargetMode="External"/><Relationship Id="rId30" Type="http://schemas.openxmlformats.org/officeDocument/2006/relationships/hyperlink" Target="https://img.fastenal.com/catalog_pages/2013/01-116.pdf?_ga=2.50866345.1648939239.1686547592-1220395008.1685956386" TargetMode="External"/><Relationship Id="rId105" Type="http://schemas.openxmlformats.org/officeDocument/2006/relationships/hyperlink" Target="https://www.grainger.com/product/GRAINGER-APPROVED-Hex-Head-Cap-Screw-Steel-22RY94" TargetMode="External"/><Relationship Id="rId126" Type="http://schemas.openxmlformats.org/officeDocument/2006/relationships/hyperlink" Target="https://www.imperialsupplies.com/item/0901070" TargetMode="External"/><Relationship Id="rId147" Type="http://schemas.openxmlformats.org/officeDocument/2006/relationships/hyperlink" Target="https://www.fastenal.com/product/details/33081" TargetMode="External"/><Relationship Id="rId168" Type="http://schemas.openxmlformats.org/officeDocument/2006/relationships/hyperlink" Target="https://www.fastenal.com/product/details/0437819" TargetMode="External"/><Relationship Id="rId51" Type="http://schemas.openxmlformats.org/officeDocument/2006/relationships/hyperlink" Target="https://www.skf.com/us/products/rolling-bearings/accessories/lock-nuts/keyway/productid-W%2011" TargetMode="External"/><Relationship Id="rId72" Type="http://schemas.openxmlformats.org/officeDocument/2006/relationships/hyperlink" Target="https://www.grainger.com/product/GRAINGER-APPROVED-Hex-Head-Cap-Screw-Steel-5JTU0" TargetMode="External"/><Relationship Id="rId93" Type="http://schemas.openxmlformats.org/officeDocument/2006/relationships/hyperlink" Target="https://www.grainger.com/category/fasteners/bolts-screws/hex-head-bolts/standard-hex-head-cap-screws?attrs=Fastener++Length%7C1-1%2F4+in~~Finish%7CZinc+Plated~~Thread+Size%7C3%2F8%22-16&amp;filters=attrs" TargetMode="External"/><Relationship Id="rId189" Type="http://schemas.openxmlformats.org/officeDocument/2006/relationships/hyperlink" Target="https://www.buyfittingsonline.com/pipe-fittings-forged-carbon-steel-hex-bushings-3000-lb-npt-threaded-1-4-in-x-1-8-in/" TargetMode="External"/><Relationship Id="rId3" Type="http://schemas.openxmlformats.org/officeDocument/2006/relationships/hyperlink" Target="https://lincolube.com/wp-content/uploads/fitingi_aksesoari.pdf" TargetMode="External"/><Relationship Id="rId214" Type="http://schemas.openxmlformats.org/officeDocument/2006/relationships/hyperlink" Target="https://ph.parker.com/us/en/product/nitrile-70-durometer-o-ring-ul-approved-n1499-70/n1499-2-254" TargetMode="External"/><Relationship Id="rId235" Type="http://schemas.openxmlformats.org/officeDocument/2006/relationships/hyperlink" Target="https://www.huyett.com/ftwu-0437-zyb" TargetMode="External"/><Relationship Id="rId256" Type="http://schemas.openxmlformats.org/officeDocument/2006/relationships/hyperlink" Target="https://www.mcmaster.com/92624A401/" TargetMode="External"/><Relationship Id="rId277" Type="http://schemas.openxmlformats.org/officeDocument/2006/relationships/hyperlink" Target="https://www.huyett.com/wshf08-0375-1250sp" TargetMode="External"/><Relationship Id="rId116" Type="http://schemas.openxmlformats.org/officeDocument/2006/relationships/hyperlink" Target="https://www.mcmaster.com/44615K462/" TargetMode="External"/><Relationship Id="rId137" Type="http://schemas.openxmlformats.org/officeDocument/2006/relationships/hyperlink" Target="https://www.mcmaster.com/90251A237/" TargetMode="External"/><Relationship Id="rId158" Type="http://schemas.openxmlformats.org/officeDocument/2006/relationships/hyperlink" Target="https://www.grainger.com/category/fasteners/bolts-screws/hex-head-bolts/standard-hex-head-cap-screws?attrs=Fastener+Length%7C1-1%2F4+in~~Material+Grade%2FClass%7CGrade+2~~Thread+Size%7C7%2F16%22-14&amp;filters=attrs" TargetMode="External"/><Relationship Id="rId20" Type="http://schemas.openxmlformats.org/officeDocument/2006/relationships/hyperlink" Target="https://www.skf.com/us/products/rolling-bearings/accessories/lock-nuts/keyway/productid-N%2011" TargetMode="External"/><Relationship Id="rId41" Type="http://schemas.openxmlformats.org/officeDocument/2006/relationships/hyperlink" Target="https://www.skf.com/us/products/rolling-bearings/accessories/lock-nuts/keyway/productid-N%2007" TargetMode="External"/><Relationship Id="rId62" Type="http://schemas.openxmlformats.org/officeDocument/2006/relationships/hyperlink" Target="https://www.americanring.com/products/snap-ring.aspx?item=5000-393" TargetMode="External"/><Relationship Id="rId83" Type="http://schemas.openxmlformats.org/officeDocument/2006/relationships/hyperlink" Target="https://www.grainger.com/product/GRAINGER-APPROVED-Hex-Head-Cap-Screw-Steel-38WN90" TargetMode="External"/><Relationship Id="rId179" Type="http://schemas.openxmlformats.org/officeDocument/2006/relationships/hyperlink" Target="https://www.applied.com/c-brands/c-rotor-clip/vsh-215st-pa/External-VSH-Retaining-Ring/p/101552943" TargetMode="External"/><Relationship Id="rId190" Type="http://schemas.openxmlformats.org/officeDocument/2006/relationships/hyperlink" Target="https://www.mcmaster.com/92313A535/" TargetMode="External"/><Relationship Id="rId204" Type="http://schemas.openxmlformats.org/officeDocument/2006/relationships/hyperlink" Target="https://www.rotorclip.com/product/E-43/" TargetMode="External"/><Relationship Id="rId225" Type="http://schemas.openxmlformats.org/officeDocument/2006/relationships/hyperlink" Target="https://www.mcmaster.com/3799N82/" TargetMode="External"/><Relationship Id="rId246" Type="http://schemas.openxmlformats.org/officeDocument/2006/relationships/hyperlink" Target="https://www.asmc.net/1-8-x-7-coarse-thread-12-point-flange-screw-alloy-steel-thermal-black-oxide/" TargetMode="External"/><Relationship Id="rId267" Type="http://schemas.openxmlformats.org/officeDocument/2006/relationships/hyperlink" Target="https://www.mcmaster.com/92624A283/" TargetMode="External"/><Relationship Id="rId288" Type="http://schemas.openxmlformats.org/officeDocument/2006/relationships/hyperlink" Target="https://www.allorings.com/configurator-qty" TargetMode="External"/><Relationship Id="rId106" Type="http://schemas.openxmlformats.org/officeDocument/2006/relationships/hyperlink" Target="https://www.grainger.com/product/GRAINGER-APPROVED-Hex-Head-Cap-Screw-Steel-5JTV5" TargetMode="External"/><Relationship Id="rId127" Type="http://schemas.openxmlformats.org/officeDocument/2006/relationships/hyperlink" Target="https://www.imperialsupplies.com/item/0901060" TargetMode="External"/><Relationship Id="rId10" Type="http://schemas.openxmlformats.org/officeDocument/2006/relationships/hyperlink" Target="https://ph.parker.com/us/en/product/brass-compression-fittings/169c-4-4?_gl=1*1wa2uk2*_ga*MjYxNDk1MTQ2LjE2ODY1NjcyNDI.*_ga_QBSNDM6SF0*MTY4NjU2NzI0Mi4xLjAuMTY4NjU2NzI0Mi42MC4wLjA" TargetMode="External"/><Relationship Id="rId31" Type="http://schemas.openxmlformats.org/officeDocument/2006/relationships/hyperlink" Target="https://www.mcmaster.com/4638K719/" TargetMode="External"/><Relationship Id="rId52" Type="http://schemas.openxmlformats.org/officeDocument/2006/relationships/hyperlink" Target="https://www.grainger.com/product/GRAINGER-APPROVED-Tapping-Sheet-Metal-Screw-1ME15" TargetMode="External"/><Relationship Id="rId73" Type="http://schemas.openxmlformats.org/officeDocument/2006/relationships/hyperlink" Target="https://www.grainger.com/product/GRAINGER-APPROVED-Hex-Head-Cap-Screw-Steel-22RY22" TargetMode="External"/><Relationship Id="rId94" Type="http://schemas.openxmlformats.org/officeDocument/2006/relationships/hyperlink" Target="https://www.grainger.com/category/fasteners/bolts-screws/hex-head-bolts/standard-hex-head-cap-screws?attrs=Fastener++Length%7C2-1%2F4+in~~Material+Grade%2FClass%7CGrade+5~~Thread+Size%7C5%2F8%22-11&amp;filters=attrs" TargetMode="External"/><Relationship Id="rId148" Type="http://schemas.openxmlformats.org/officeDocument/2006/relationships/hyperlink" Target="https://www.grainger.com/category/fasteners/threaded-rods-studs/fully-threaded-rods-studs?attrs=Material%7CStainless+Steel~~Overall+Length%7C3+in~~Thread+Size%7C3%2F8%22-16&amp;filters=attrs" TargetMode="External"/><Relationship Id="rId169" Type="http://schemas.openxmlformats.org/officeDocument/2006/relationships/hyperlink" Target="https://www.fastenal.com/product/details/77110" TargetMode="External"/><Relationship Id="rId4" Type="http://schemas.openxmlformats.org/officeDocument/2006/relationships/hyperlink" Target="https://www.mcmaster.com/94800A720/" TargetMode="External"/><Relationship Id="rId180" Type="http://schemas.openxmlformats.org/officeDocument/2006/relationships/hyperlink" Target="https://www.grainger.com/product/ROTOR-CLIP-E-Style-Retaining-Ring-5CE25?searchQuery=SE-74STZD&amp;searchBar=true&amp;tier=Tier+6" TargetMode="External"/><Relationship Id="rId215" Type="http://schemas.openxmlformats.org/officeDocument/2006/relationships/hyperlink" Target="https://ph.parker.com/us/en/product/nitrile-70-durometer-o-ring-ul-approved-n1499-70/n1499-2-235" TargetMode="External"/><Relationship Id="rId236" Type="http://schemas.openxmlformats.org/officeDocument/2006/relationships/hyperlink" Target="https://www.mcmaster.com/91102A035/" TargetMode="External"/><Relationship Id="rId257" Type="http://schemas.openxmlformats.org/officeDocument/2006/relationships/hyperlink" Target="https://www.mcmaster.com/92624A160/" TargetMode="External"/><Relationship Id="rId278" Type="http://schemas.openxmlformats.org/officeDocument/2006/relationships/hyperlink" Target="https://www1.mcmaster.com/97245A238/" TargetMode="External"/><Relationship Id="rId42" Type="http://schemas.openxmlformats.org/officeDocument/2006/relationships/hyperlink" Target="https://www.fastenal.com/product/details/0437817" TargetMode="External"/><Relationship Id="rId84" Type="http://schemas.openxmlformats.org/officeDocument/2006/relationships/hyperlink" Target="https://www.grainger.com/product/GRAINGER-APPROVED-Hex-Head-Cap-Screw-Steel-22RY27" TargetMode="External"/><Relationship Id="rId138" Type="http://schemas.openxmlformats.org/officeDocument/2006/relationships/hyperlink" Target="https://www.fastenal.com/product/details/11363" TargetMode="External"/><Relationship Id="rId191" Type="http://schemas.openxmlformats.org/officeDocument/2006/relationships/hyperlink" Target="https://www.mcmaster.com/92313A718/" TargetMode="External"/><Relationship Id="rId205" Type="http://schemas.openxmlformats.org/officeDocument/2006/relationships/hyperlink" Target="https://www.rotorclip.com/product/BE-43/" TargetMode="External"/><Relationship Id="rId247" Type="http://schemas.openxmlformats.org/officeDocument/2006/relationships/hyperlink" Target="https://www.grainger.com/product/Socket-Head-Cap-Screw-1-2-45FV32" TargetMode="External"/><Relationship Id="rId107" Type="http://schemas.openxmlformats.org/officeDocument/2006/relationships/hyperlink" Target="https://www.grainger.com/product/GRAINGER-APPROVED-Hex-Head-Cap-Screw-Steel-22RY23" TargetMode="External"/><Relationship Id="rId289" Type="http://schemas.openxmlformats.org/officeDocument/2006/relationships/hyperlink" Target="https://www.allorings.com/configurator-qty" TargetMode="External"/><Relationship Id="rId11" Type="http://schemas.openxmlformats.org/officeDocument/2006/relationships/hyperlink" Target="https://ph.parker.com/us/en/product/brass-compression-fittings/68c-4-4" TargetMode="External"/><Relationship Id="rId53" Type="http://schemas.openxmlformats.org/officeDocument/2006/relationships/hyperlink" Target="https://www.mcmaster.com/91102A765/" TargetMode="External"/><Relationship Id="rId149" Type="http://schemas.openxmlformats.org/officeDocument/2006/relationships/hyperlink" Target="https://www.grainger.com/product/GRAINGER-APPROVED-Machine-Screw-8-32-Thread-2EB66" TargetMode="External"/><Relationship Id="rId95" Type="http://schemas.openxmlformats.org/officeDocument/2006/relationships/hyperlink" Target="https://www.grainger.com/product/GRAINGER-APPROVED-Hex-Head-Cap-Screw-Steel-22RY46" TargetMode="External"/><Relationship Id="rId160" Type="http://schemas.openxmlformats.org/officeDocument/2006/relationships/hyperlink" Target="https://www.grainger.com/category/fasteners/bolts-screws/hex-head-bolts/standard-hex-head-cap-screws?attrs=Fastener+Length%7C2+in~~Material%7CStainless+Steel~~Thread+Size%7C3%2F8%22-16&amp;filters=attrs" TargetMode="External"/><Relationship Id="rId216" Type="http://schemas.openxmlformats.org/officeDocument/2006/relationships/hyperlink" Target="https://ph.parker.com/us/en/product/nitrile-70-durometer-o-ring-ul-approved-n1499-70/n1499-2-240" TargetMode="External"/><Relationship Id="rId258" Type="http://schemas.openxmlformats.org/officeDocument/2006/relationships/hyperlink" Target="https://www.huyett.com/3003750375-3250" TargetMode="External"/><Relationship Id="rId22" Type="http://schemas.openxmlformats.org/officeDocument/2006/relationships/hyperlink" Target="https://www.fastenal.com/product?query=77732&amp;fsi=1" TargetMode="External"/><Relationship Id="rId64" Type="http://schemas.openxmlformats.org/officeDocument/2006/relationships/hyperlink" Target="https://www.huyett.com/c-025b" TargetMode="External"/><Relationship Id="rId118" Type="http://schemas.openxmlformats.org/officeDocument/2006/relationships/hyperlink" Target="https://www.fastenal.com/product/Fasteners/Set%2520Screws/Socket%2520Set%2520Screws?Category%20Attributes.Dia/Thread%20Size=1%2F4%22-20&amp;Category%20Attributes.Material=Stainless%20Steel&amp;Category%20Attributes.Length=3%2F8%22&amp;Category%20Attributes.Point=Cup&amp;showAll=Category%20Attributes.Dia/Thread%20Size,Category%20Attributes.Length,Category%20Attributes.Material,Category%20Attributes.Point&amp;categoryId=600049&amp;sortBy=Best%20Match&amp;includeSuggestedFilters=false" TargetMode="External"/><Relationship Id="rId171" Type="http://schemas.openxmlformats.org/officeDocument/2006/relationships/hyperlink" Target="https://www.fastenal.com/product/details/922980732" TargetMode="External"/><Relationship Id="rId227" Type="http://schemas.openxmlformats.org/officeDocument/2006/relationships/hyperlink" Target="https://www.allorings.com/configurator-qty" TargetMode="External"/><Relationship Id="rId269" Type="http://schemas.openxmlformats.org/officeDocument/2006/relationships/hyperlink" Target="https://www.mcmaster.com/98870A83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76AD-A30E-42C7-A23B-2FA6F6F7CD66}">
  <dimension ref="A1:E389"/>
  <sheetViews>
    <sheetView tabSelected="1" workbookViewId="0">
      <selection activeCell="D389" sqref="D389"/>
    </sheetView>
  </sheetViews>
  <sheetFormatPr defaultRowHeight="14.4" x14ac:dyDescent="0.3"/>
  <cols>
    <col min="1" max="1" width="19.44140625" style="3" bestFit="1" customWidth="1"/>
    <col min="2" max="2" width="37.6640625" style="3" customWidth="1"/>
    <col min="3" max="3" width="151.6640625" style="3" customWidth="1"/>
    <col min="4" max="4" width="24" style="3" customWidth="1"/>
    <col min="5" max="5" width="132.33203125" style="3" customWidth="1"/>
    <col min="6" max="8" width="5" customWidth="1"/>
    <col min="9" max="9" width="4" customWidth="1"/>
    <col min="10" max="10" width="5" customWidth="1"/>
    <col min="11" max="11" width="4" customWidth="1"/>
    <col min="12" max="13" width="5" customWidth="1"/>
    <col min="14" max="14" width="4" customWidth="1"/>
    <col min="15" max="18" width="5" customWidth="1"/>
    <col min="19" max="19" width="4" customWidth="1"/>
    <col min="20" max="22" width="5" customWidth="1"/>
    <col min="23" max="23" width="2" customWidth="1"/>
    <col min="24" max="25" width="4" customWidth="1"/>
    <col min="26" max="26" width="5" customWidth="1"/>
    <col min="27" max="27" width="2" customWidth="1"/>
    <col min="28" max="28" width="5" customWidth="1"/>
    <col min="29" max="29" width="4" customWidth="1"/>
    <col min="30" max="30" width="5" customWidth="1"/>
    <col min="31" max="31" width="4" customWidth="1"/>
    <col min="32" max="34" width="5" customWidth="1"/>
    <col min="35" max="35" width="4" customWidth="1"/>
    <col min="36" max="40" width="5" customWidth="1"/>
    <col min="41" max="42" width="4" customWidth="1"/>
    <col min="43" max="43" width="2" customWidth="1"/>
    <col min="44" max="44" width="5" customWidth="1"/>
    <col min="45" max="45" width="4" customWidth="1"/>
    <col min="46" max="48" width="6" customWidth="1"/>
    <col min="49" max="50" width="5" customWidth="1"/>
    <col min="51" max="53" width="6" customWidth="1"/>
    <col min="54" max="54" width="5" customWidth="1"/>
    <col min="55" max="55" width="6" customWidth="1"/>
    <col min="56" max="56" width="5" customWidth="1"/>
    <col min="57" max="57" width="6" customWidth="1"/>
    <col min="58" max="58" width="5" customWidth="1"/>
    <col min="59" max="63" width="6" customWidth="1"/>
    <col min="64" max="64" width="3" customWidth="1"/>
    <col min="65" max="65" width="5" customWidth="1"/>
    <col min="66" max="66" width="6" customWidth="1"/>
    <col min="67" max="67" width="5" customWidth="1"/>
    <col min="68" max="75" width="6" customWidth="1"/>
    <col min="76" max="76" width="5" customWidth="1"/>
    <col min="77" max="79" width="6" customWidth="1"/>
    <col min="80" max="82" width="5" customWidth="1"/>
    <col min="83" max="87" width="6" customWidth="1"/>
    <col min="88" max="88" width="5" customWidth="1"/>
    <col min="89" max="89" width="6" customWidth="1"/>
    <col min="90" max="90" width="5" customWidth="1"/>
    <col min="91" max="97" width="6" customWidth="1"/>
    <col min="98" max="98" width="5" customWidth="1"/>
    <col min="99" max="99" width="6" customWidth="1"/>
    <col min="100" max="100" width="5" customWidth="1"/>
    <col min="101" max="102" width="6" customWidth="1"/>
    <col min="103" max="103" width="5" customWidth="1"/>
    <col min="104" max="105" width="6" customWidth="1"/>
    <col min="106" max="106" width="5" customWidth="1"/>
    <col min="107" max="110" width="6" customWidth="1"/>
    <col min="111" max="111" width="5" customWidth="1"/>
    <col min="112" max="112" width="6" customWidth="1"/>
    <col min="113" max="113" width="5" customWidth="1"/>
    <col min="114" max="114" width="3" customWidth="1"/>
    <col min="115" max="115" width="6" customWidth="1"/>
    <col min="116" max="116" width="5" customWidth="1"/>
    <col min="117" max="119" width="6" customWidth="1"/>
    <col min="120" max="120" width="5" customWidth="1"/>
    <col min="121" max="121" width="6" customWidth="1"/>
    <col min="122" max="122" width="5" customWidth="1"/>
    <col min="123" max="123" width="6" customWidth="1"/>
    <col min="124" max="124" width="5" customWidth="1"/>
    <col min="125" max="125" width="3" customWidth="1"/>
    <col min="126" max="126" width="6" customWidth="1"/>
    <col min="127" max="127" width="5" customWidth="1"/>
    <col min="128" max="131" width="6" customWidth="1"/>
    <col min="132" max="132" width="5" customWidth="1"/>
    <col min="133" max="137" width="6" customWidth="1"/>
    <col min="138" max="138" width="3" customWidth="1"/>
    <col min="139" max="139" width="5" customWidth="1"/>
    <col min="140" max="142" width="6" customWidth="1"/>
    <col min="143" max="144" width="5" customWidth="1"/>
    <col min="145" max="145" width="6" customWidth="1"/>
    <col min="146" max="146" width="5" customWidth="1"/>
    <col min="147" max="148" width="6" customWidth="1"/>
    <col min="149" max="149" width="3" customWidth="1"/>
    <col min="150" max="151" width="6" customWidth="1"/>
    <col min="152" max="156" width="7" customWidth="1"/>
    <col min="157" max="159" width="6" customWidth="1"/>
    <col min="160" max="160" width="7" customWidth="1"/>
    <col min="161" max="161" width="4" customWidth="1"/>
    <col min="162" max="162" width="6" customWidth="1"/>
    <col min="163" max="163" width="7" customWidth="1"/>
    <col min="164" max="164" width="6" customWidth="1"/>
    <col min="165" max="171" width="7" customWidth="1"/>
    <col min="172" max="172" width="6" customWidth="1"/>
    <col min="173" max="180" width="7" customWidth="1"/>
    <col min="181" max="181" width="6" customWidth="1"/>
    <col min="182" max="184" width="7" customWidth="1"/>
    <col min="185" max="185" width="4" customWidth="1"/>
    <col min="186" max="188" width="7" customWidth="1"/>
    <col min="189" max="189" width="6" customWidth="1"/>
    <col min="190" max="197" width="7" customWidth="1"/>
    <col min="198" max="199" width="6" customWidth="1"/>
    <col min="200" max="203" width="7" customWidth="1"/>
    <col min="204" max="204" width="6" customWidth="1"/>
    <col min="205" max="205" width="4" customWidth="1"/>
    <col min="206" max="206" width="6" customWidth="1"/>
    <col min="207" max="207" width="4" customWidth="1"/>
    <col min="208" max="211" width="7" customWidth="1"/>
    <col min="212" max="213" width="6" customWidth="1"/>
    <col min="214" max="214" width="7" customWidth="1"/>
    <col min="215" max="215" width="6" customWidth="1"/>
    <col min="216" max="218" width="7" customWidth="1"/>
    <col min="219" max="219" width="6" customWidth="1"/>
    <col min="220" max="223" width="7" customWidth="1"/>
    <col min="224" max="224" width="4" customWidth="1"/>
    <col min="225" max="227" width="7" customWidth="1"/>
    <col min="228" max="228" width="6" customWidth="1"/>
    <col min="229" max="229" width="7" customWidth="1"/>
    <col min="230" max="230" width="4" customWidth="1"/>
    <col min="231" max="232" width="7" customWidth="1"/>
    <col min="233" max="233" width="6" customWidth="1"/>
    <col min="234" max="235" width="7" customWidth="1"/>
    <col min="236" max="236" width="6" customWidth="1"/>
    <col min="237" max="242" width="7" customWidth="1"/>
    <col min="243" max="243" width="4" customWidth="1"/>
    <col min="244" max="244" width="7" customWidth="1"/>
    <col min="245" max="247" width="8" customWidth="1"/>
    <col min="248" max="248" width="5" customWidth="1"/>
    <col min="249" max="249" width="8" customWidth="1"/>
    <col min="250" max="250" width="7" customWidth="1"/>
    <col min="251" max="257" width="8" customWidth="1"/>
    <col min="258" max="258" width="7" customWidth="1"/>
    <col min="259" max="261" width="8" customWidth="1"/>
    <col min="262" max="262" width="5" customWidth="1"/>
    <col min="263" max="267" width="8" customWidth="1"/>
    <col min="268" max="268" width="7.33203125" customWidth="1"/>
    <col min="269" max="269" width="11.33203125" bestFit="1" customWidth="1"/>
  </cols>
  <sheetData>
    <row r="1" spans="1:5" ht="32.25" customHeight="1" x14ac:dyDescent="0.35">
      <c r="A1" s="2" t="s">
        <v>1130</v>
      </c>
    </row>
    <row r="2" spans="1:5" s="1" customFormat="1" ht="36.75" customHeight="1" x14ac:dyDescent="0.3">
      <c r="A2" s="13" t="s">
        <v>0</v>
      </c>
      <c r="B2" s="13" t="s">
        <v>1</v>
      </c>
      <c r="C2" s="14" t="s">
        <v>2</v>
      </c>
      <c r="D2" s="15" t="s">
        <v>3</v>
      </c>
      <c r="E2" s="15" t="s">
        <v>4</v>
      </c>
    </row>
    <row r="3" spans="1:5" x14ac:dyDescent="0.3">
      <c r="A3" s="3" t="s">
        <v>5</v>
      </c>
      <c r="B3" s="3" t="str">
        <f>VLOOKUP(A3,'[1]XGV Data'!$C$2:$M$330,2,FALSE)</f>
        <v>NUT</v>
      </c>
      <c r="C3" s="3" t="str">
        <f>VLOOKUP(A3, '[1]XGV Data'!$C$2:$K$359,3, FALSE)</f>
        <v>HEX. HEAVY NUT;3/8-16 THDS. PER INCH  STN. STL. 18;-8;</v>
      </c>
      <c r="D3" s="3" t="s">
        <v>6</v>
      </c>
      <c r="E3" s="4" t="s">
        <v>7</v>
      </c>
    </row>
    <row r="4" spans="1:5" x14ac:dyDescent="0.3">
      <c r="A4" s="5">
        <v>511849</v>
      </c>
      <c r="B4" s="5" t="s">
        <v>426</v>
      </c>
      <c r="C4" s="6" t="s">
        <v>427</v>
      </c>
      <c r="D4" s="6" t="s">
        <v>428</v>
      </c>
      <c r="E4" s="7" t="s">
        <v>429</v>
      </c>
    </row>
    <row r="5" spans="1:5" x14ac:dyDescent="0.3">
      <c r="A5" s="8" t="s">
        <v>430</v>
      </c>
      <c r="B5" s="8" t="s">
        <v>431</v>
      </c>
      <c r="C5" s="6"/>
      <c r="D5" s="6" t="s">
        <v>432</v>
      </c>
      <c r="E5" s="6" t="s">
        <v>433</v>
      </c>
    </row>
    <row r="6" spans="1:5" ht="28.8" x14ac:dyDescent="0.3">
      <c r="A6" s="8" t="s">
        <v>434</v>
      </c>
      <c r="B6" s="5" t="s">
        <v>435</v>
      </c>
      <c r="C6" s="6" t="s">
        <v>436</v>
      </c>
      <c r="D6" s="6" t="s">
        <v>437</v>
      </c>
      <c r="E6" s="7" t="s">
        <v>438</v>
      </c>
    </row>
    <row r="7" spans="1:5" x14ac:dyDescent="0.3">
      <c r="A7" s="8" t="s">
        <v>439</v>
      </c>
      <c r="B7" s="5" t="s">
        <v>440</v>
      </c>
      <c r="C7" s="6" t="s">
        <v>441</v>
      </c>
      <c r="D7" s="6" t="s">
        <v>437</v>
      </c>
      <c r="E7" s="7" t="s">
        <v>442</v>
      </c>
    </row>
    <row r="8" spans="1:5" x14ac:dyDescent="0.3">
      <c r="A8" s="8" t="s">
        <v>443</v>
      </c>
      <c r="B8" s="5" t="s">
        <v>444</v>
      </c>
      <c r="C8" s="6" t="s">
        <v>445</v>
      </c>
      <c r="D8" s="6" t="s">
        <v>437</v>
      </c>
      <c r="E8" s="7" t="s">
        <v>446</v>
      </c>
    </row>
    <row r="9" spans="1:5" x14ac:dyDescent="0.3">
      <c r="A9" s="8" t="s">
        <v>447</v>
      </c>
      <c r="B9" s="8" t="s">
        <v>448</v>
      </c>
      <c r="C9" s="6" t="s">
        <v>449</v>
      </c>
      <c r="D9" s="6" t="s">
        <v>450</v>
      </c>
      <c r="E9" s="7" t="s">
        <v>451</v>
      </c>
    </row>
    <row r="10" spans="1:5" x14ac:dyDescent="0.3">
      <c r="A10" s="8" t="s">
        <v>452</v>
      </c>
      <c r="B10" s="5" t="s">
        <v>453</v>
      </c>
      <c r="C10" s="6" t="s">
        <v>454</v>
      </c>
      <c r="D10" s="6" t="s">
        <v>455</v>
      </c>
      <c r="E10" s="7" t="s">
        <v>456</v>
      </c>
    </row>
    <row r="11" spans="1:5" x14ac:dyDescent="0.3">
      <c r="A11" s="3" t="s">
        <v>8</v>
      </c>
      <c r="B11" s="3" t="str">
        <f>VLOOKUP(A11,'[1]XGV Data'!$C$2:$M$330,2,FALSE)</f>
        <v>TEE,BRS COMPRESSION RUNXNPTM</v>
      </c>
      <c r="C11" s="3" t="str">
        <f>VLOOKUP(A11, '[1]XGV Data'!$C$2:$K$359,3, FALSE)</f>
        <v>TEE FITTING .25 BRASS;</v>
      </c>
      <c r="D11" s="3" t="s">
        <v>42</v>
      </c>
      <c r="E11" s="4" t="s">
        <v>417</v>
      </c>
    </row>
    <row r="12" spans="1:5" x14ac:dyDescent="0.3">
      <c r="A12" s="3" t="s">
        <v>9</v>
      </c>
      <c r="B12" s="3" t="str">
        <f>VLOOKUP(A12,'[1]XGV Data'!$C$2:$M$330,2,FALSE)</f>
        <v>DRIVE-LOK-PIN</v>
      </c>
      <c r="C12" s="3" t="str">
        <f>VLOOKUP(A12, '[1]XGV Data'!$C$2:$K$359,3, FALSE)</f>
        <v>DRIVE LOK-PIN         STN. STL. .109" DIA. X .5" LG. - TYPE A;</v>
      </c>
      <c r="D12" s="3" t="s">
        <v>176</v>
      </c>
      <c r="E12" s="4" t="s">
        <v>412</v>
      </c>
    </row>
    <row r="13" spans="1:5" x14ac:dyDescent="0.3">
      <c r="A13" s="3" t="s">
        <v>10</v>
      </c>
      <c r="B13" s="3" t="str">
        <f>VLOOKUP(A13,'[1]XGV Data'!$C$2:$M$330,2,FALSE)</f>
        <v>NEEDLE VALVE,BRASS,.25" COMP.X</v>
      </c>
      <c r="C13" s="3" t="str">
        <f>VLOOKUP(A13, '[1]XGV Data'!$C$2:$K$359,3, FALSE)</f>
        <v>NEEDLE VALVE, .25 TUBE TO .25 NPT;MAT'L. BRASS.</v>
      </c>
      <c r="D13" s="3" t="s">
        <v>42</v>
      </c>
      <c r="E13" s="4" t="s">
        <v>418</v>
      </c>
    </row>
    <row r="14" spans="1:5" x14ac:dyDescent="0.3">
      <c r="A14" s="8" t="s">
        <v>457</v>
      </c>
      <c r="B14" s="5" t="s">
        <v>458</v>
      </c>
      <c r="C14" s="6" t="s">
        <v>459</v>
      </c>
      <c r="D14" s="6" t="s">
        <v>437</v>
      </c>
      <c r="E14" s="7" t="s">
        <v>460</v>
      </c>
    </row>
    <row r="15" spans="1:5" x14ac:dyDescent="0.3">
      <c r="A15" s="3" t="s">
        <v>11</v>
      </c>
      <c r="B15" s="3" t="str">
        <f>VLOOKUP(A15,'[1]XGV Data'!$C$2:$M$330,2,FALSE)</f>
        <v>BUSHING, DOUBLE TAP, M.I. HEX</v>
      </c>
      <c r="C15" s="3" t="str">
        <f>VLOOKUP(A15, '[1]XGV Data'!$C$2:$K$359,3, FALSE)</f>
        <v>FUEL TANK FITTING FOR FIRE PUMP;3.0 NPT OUTSIDE X 2.0 NPT INSIDE DOUBLE TAPPED;HEX REDUCING BUSHING - CAST IRON;</v>
      </c>
      <c r="D15" s="3" t="s">
        <v>12</v>
      </c>
      <c r="E15" s="4" t="s">
        <v>13</v>
      </c>
    </row>
    <row r="16" spans="1:5" x14ac:dyDescent="0.3">
      <c r="A16" s="8" t="s">
        <v>461</v>
      </c>
      <c r="B16" s="5" t="s">
        <v>462</v>
      </c>
      <c r="C16" s="6" t="s">
        <v>436</v>
      </c>
      <c r="D16" s="6" t="s">
        <v>98</v>
      </c>
      <c r="E16" s="7" t="s">
        <v>463</v>
      </c>
    </row>
    <row r="17" spans="1:5" x14ac:dyDescent="0.3">
      <c r="A17" s="8" t="s">
        <v>464</v>
      </c>
      <c r="B17" s="5" t="s">
        <v>465</v>
      </c>
      <c r="C17" s="6" t="s">
        <v>436</v>
      </c>
      <c r="D17" s="6" t="s">
        <v>98</v>
      </c>
      <c r="E17" s="7" t="s">
        <v>466</v>
      </c>
    </row>
    <row r="18" spans="1:5" x14ac:dyDescent="0.3">
      <c r="A18" s="8" t="s">
        <v>467</v>
      </c>
      <c r="B18" s="5" t="s">
        <v>468</v>
      </c>
      <c r="C18" s="6" t="s">
        <v>436</v>
      </c>
      <c r="D18" s="6" t="s">
        <v>469</v>
      </c>
      <c r="E18" s="7" t="s">
        <v>470</v>
      </c>
    </row>
    <row r="19" spans="1:5" x14ac:dyDescent="0.3">
      <c r="A19" s="8" t="s">
        <v>471</v>
      </c>
      <c r="B19" s="5" t="s">
        <v>472</v>
      </c>
      <c r="C19" s="6" t="s">
        <v>473</v>
      </c>
      <c r="D19" s="6" t="s">
        <v>437</v>
      </c>
      <c r="E19" s="7" t="s">
        <v>474</v>
      </c>
    </row>
    <row r="20" spans="1:5" x14ac:dyDescent="0.3">
      <c r="A20" s="8" t="s">
        <v>475</v>
      </c>
      <c r="B20" s="5" t="s">
        <v>476</v>
      </c>
      <c r="C20" s="6" t="s">
        <v>477</v>
      </c>
      <c r="D20" s="6" t="s">
        <v>437</v>
      </c>
      <c r="E20" s="7" t="s">
        <v>478</v>
      </c>
    </row>
    <row r="21" spans="1:5" x14ac:dyDescent="0.3">
      <c r="A21" s="8" t="s">
        <v>479</v>
      </c>
      <c r="B21" s="5" t="s">
        <v>480</v>
      </c>
      <c r="C21" s="6" t="s">
        <v>481</v>
      </c>
      <c r="D21" s="6" t="s">
        <v>437</v>
      </c>
      <c r="E21" s="7" t="s">
        <v>482</v>
      </c>
    </row>
    <row r="22" spans="1:5" x14ac:dyDescent="0.3">
      <c r="A22" s="8" t="s">
        <v>483</v>
      </c>
      <c r="B22" s="5" t="s">
        <v>484</v>
      </c>
      <c r="C22" s="6" t="s">
        <v>485</v>
      </c>
      <c r="D22" s="6" t="s">
        <v>486</v>
      </c>
      <c r="E22" s="7" t="s">
        <v>487</v>
      </c>
    </row>
    <row r="23" spans="1:5" x14ac:dyDescent="0.3">
      <c r="A23" s="3" t="s">
        <v>14</v>
      </c>
      <c r="B23" s="3" t="str">
        <f>VLOOKUP(A23,'[1]XGV Data'!$C$2:$M$330,2,FALSE)</f>
        <v>RING, BRG. HSG.</v>
      </c>
      <c r="C23" s="3" t="str">
        <f>VLOOKUP(A23, '[1]XGV Data'!$C$2:$K$359,3, FALSE)</f>
        <v>RETAINING RING, BASIC INTERNAL SERIES, SIZE NO. 393, CARBON SPRING STEEL, SAE 1060-1090, OIL DIPPED. A-C #CP-673-151-393;**;</v>
      </c>
      <c r="D23" s="3" t="s">
        <v>15</v>
      </c>
      <c r="E23" s="4" t="s">
        <v>16</v>
      </c>
    </row>
    <row r="24" spans="1:5" x14ac:dyDescent="0.3">
      <c r="A24" s="3" t="s">
        <v>17</v>
      </c>
      <c r="B24" s="3" t="str">
        <f>VLOOKUP(A24,'[1]XGV Data'!$C$2:$M$330,2,FALSE)</f>
        <v>RING, BRG. HSG.</v>
      </c>
      <c r="C24" s="3" t="str">
        <f>VLOOKUP(A24, '[1]XGV Data'!$C$2:$K$359,3, FALSE)</f>
        <v>RETAINING RING, BEVELED INTERNAL SERIES, SIZE NO.393, CARBON SPRING STEEL, SAE 1060-1090, OIL DIPPED. A-C #CP-673-157-393;**;</v>
      </c>
      <c r="D24" s="3" t="s">
        <v>15</v>
      </c>
      <c r="E24" s="4" t="s">
        <v>18</v>
      </c>
    </row>
    <row r="25" spans="1:5" x14ac:dyDescent="0.3">
      <c r="A25" s="3" t="s">
        <v>19</v>
      </c>
      <c r="B25" s="3" t="str">
        <f>VLOOKUP(A25,'[1]XGV Data'!$C$2:$M$330,2,FALSE)</f>
        <v>RING, SHAFT RETAINING</v>
      </c>
      <c r="C25" s="3" t="str">
        <f>VLOOKUP(A25, '[1]XGV Data'!$C$2:$K$359,3, FALSE)</f>
        <v>BASIC EXTERNAL SERIES, SIZE NO.175. CARBON SPRING STEEL, SAE 1060-1090, OIL DIPPED. A-C #CP-673-165-175;**;</v>
      </c>
      <c r="D25" s="3" t="s">
        <v>15</v>
      </c>
      <c r="E25" s="4" t="s">
        <v>20</v>
      </c>
    </row>
    <row r="26" spans="1:5" x14ac:dyDescent="0.3">
      <c r="A26" s="8" t="s">
        <v>489</v>
      </c>
      <c r="B26" s="5" t="s">
        <v>488</v>
      </c>
      <c r="C26" s="6" t="s">
        <v>490</v>
      </c>
      <c r="D26" s="6" t="s">
        <v>117</v>
      </c>
      <c r="E26" s="7" t="s">
        <v>491</v>
      </c>
    </row>
    <row r="27" spans="1:5" x14ac:dyDescent="0.3">
      <c r="A27" s="3" t="s">
        <v>21</v>
      </c>
      <c r="B27" s="3" t="str">
        <f>VLOOKUP(A27,'[1]XGV Data'!$C$2:$M$330,2,FALSE)</f>
        <v>ELBOW, PIPE 1/4"NPT</v>
      </c>
      <c r="C27" s="3" t="str">
        <f>VLOOKUP(A27, '[1]XGV Data'!$C$2:$K$359,3, FALSE)</f>
        <v>90 DEGREE STREET, 1/4" NPT PER ANSI B16.3, 150 LB. STEAM BANDED MALLEABLE IRON, BLACK. A-C #CP-711-369-002;</v>
      </c>
      <c r="D27" s="3" t="s">
        <v>6</v>
      </c>
      <c r="E27" s="4" t="s">
        <v>22</v>
      </c>
    </row>
    <row r="28" spans="1:5" x14ac:dyDescent="0.3">
      <c r="A28" s="3" t="s">
        <v>23</v>
      </c>
      <c r="B28" s="3" t="str">
        <f>VLOOKUP(A28,'[1]XGV Data'!$C$2:$M$330,2,FALSE)</f>
        <v>PLUG, PIPE 1/4"NPT</v>
      </c>
      <c r="C28" s="3" t="str">
        <f>VLOOKUP(A28, '[1]XGV Data'!$C$2:$K$359,3, FALSE)</f>
        <v>1/4" NPT PER ANSI B16.14;SQ. HD. SOLID TYPE, CARBON STEEL. A-C #CP-711-509-002;</v>
      </c>
      <c r="D28" s="3" t="s">
        <v>24</v>
      </c>
      <c r="E28" s="4" t="s">
        <v>25</v>
      </c>
    </row>
    <row r="29" spans="1:5" x14ac:dyDescent="0.3">
      <c r="A29" s="3" t="s">
        <v>26</v>
      </c>
      <c r="B29" s="3" t="str">
        <f>VLOOKUP(A29,'[1]XGV Data'!$C$2:$M$330,2,FALSE)</f>
        <v>ELBOW, 90 COMP. 1/4ODX3/8NPT</v>
      </c>
      <c r="C29" s="3" t="str">
        <f>VLOOKUP(A29, '[1]XGV Data'!$C$2:$K$359,3, FALSE)</f>
        <v>SIZE: 1/4"OD TUBE X 3/8"NOM. PIPE (NPTFE). 90 DEGREE COMPRESSION TYPE ADAPTER. BRASS. A-C #CP-717-561-015;**;</v>
      </c>
      <c r="D29" s="3" t="s">
        <v>6</v>
      </c>
      <c r="E29" s="4" t="s">
        <v>27</v>
      </c>
    </row>
    <row r="30" spans="1:5" x14ac:dyDescent="0.3">
      <c r="A30" s="8" t="s">
        <v>493</v>
      </c>
      <c r="B30" s="5" t="s">
        <v>494</v>
      </c>
      <c r="C30" s="6" t="s">
        <v>495</v>
      </c>
      <c r="D30" s="6" t="s">
        <v>492</v>
      </c>
      <c r="E30" s="7" t="s">
        <v>496</v>
      </c>
    </row>
    <row r="31" spans="1:5" ht="28.8" x14ac:dyDescent="0.3">
      <c r="A31" s="8" t="s">
        <v>497</v>
      </c>
      <c r="B31" s="5" t="s">
        <v>498</v>
      </c>
      <c r="C31" s="6" t="s">
        <v>499</v>
      </c>
      <c r="D31" s="6" t="s">
        <v>500</v>
      </c>
      <c r="E31" s="7" t="s">
        <v>501</v>
      </c>
    </row>
    <row r="32" spans="1:5" ht="28.8" x14ac:dyDescent="0.3">
      <c r="A32" s="8" t="s">
        <v>502</v>
      </c>
      <c r="B32" s="5" t="s">
        <v>503</v>
      </c>
      <c r="C32" s="6" t="s">
        <v>504</v>
      </c>
      <c r="D32" s="6" t="s">
        <v>500</v>
      </c>
      <c r="E32" s="7" t="s">
        <v>505</v>
      </c>
    </row>
    <row r="33" spans="1:5" ht="28.8" x14ac:dyDescent="0.3">
      <c r="A33" s="8" t="s">
        <v>506</v>
      </c>
      <c r="B33" s="5" t="s">
        <v>507</v>
      </c>
      <c r="C33" s="6" t="s">
        <v>508</v>
      </c>
      <c r="D33" s="6" t="s">
        <v>500</v>
      </c>
      <c r="E33" s="7" t="s">
        <v>505</v>
      </c>
    </row>
    <row r="34" spans="1:5" ht="28.8" x14ac:dyDescent="0.3">
      <c r="A34" s="8" t="s">
        <v>509</v>
      </c>
      <c r="B34" s="5" t="s">
        <v>510</v>
      </c>
      <c r="C34" s="6" t="s">
        <v>511</v>
      </c>
      <c r="D34" s="6" t="s">
        <v>512</v>
      </c>
      <c r="E34" s="7" t="s">
        <v>513</v>
      </c>
    </row>
    <row r="35" spans="1:5" x14ac:dyDescent="0.3">
      <c r="A35" s="3" t="s">
        <v>28</v>
      </c>
      <c r="B35" s="3" t="str">
        <f>VLOOKUP(A35,'[1]XGV Data'!$C$2:$M$330,2,FALSE)</f>
        <v>O-RING, SIZE 134</v>
      </c>
      <c r="C35" s="3" t="str">
        <f>VLOOKUP(A35, '[1]XGV Data'!$C$2:$K$359,3, FALSE)</f>
        <v>SIZE NO. 134;NITRILE POLYMER, 70 DURO, COMPOUND NO. 8307. A-C #CP-751-531-434;NOTE: INDIVIDUAL CONTAINER SUCH AS CARTON, ROLL OR BAG;      SUPPLIED BY VENDOR REQUIRES A LABEL OR TAG INDICATING;      MANUFACTURER, MANUFACTURER'S PART #, DATE OF MANUFACTURE,       COMPOUND # AND B&amp;G PART #.</v>
      </c>
      <c r="D35" s="3" t="s">
        <v>6</v>
      </c>
      <c r="E35" s="4" t="s">
        <v>29</v>
      </c>
    </row>
    <row r="36" spans="1:5" x14ac:dyDescent="0.3">
      <c r="A36" s="8" t="s">
        <v>514</v>
      </c>
      <c r="B36" s="5" t="s">
        <v>515</v>
      </c>
      <c r="C36" s="6" t="s">
        <v>516</v>
      </c>
      <c r="D36" s="6" t="s">
        <v>437</v>
      </c>
      <c r="E36" s="7" t="s">
        <v>517</v>
      </c>
    </row>
    <row r="37" spans="1:5" ht="28.8" x14ac:dyDescent="0.3">
      <c r="A37" s="8" t="s">
        <v>518</v>
      </c>
      <c r="B37" s="5" t="s">
        <v>519</v>
      </c>
      <c r="C37" s="6" t="s">
        <v>520</v>
      </c>
      <c r="D37" s="6" t="s">
        <v>437</v>
      </c>
      <c r="E37" s="7" t="s">
        <v>521</v>
      </c>
    </row>
    <row r="38" spans="1:5" x14ac:dyDescent="0.3">
      <c r="A38" s="8" t="s">
        <v>522</v>
      </c>
      <c r="B38" s="5" t="s">
        <v>523</v>
      </c>
      <c r="C38" s="6" t="s">
        <v>524</v>
      </c>
      <c r="D38" s="6" t="s">
        <v>526</v>
      </c>
      <c r="E38" s="7" t="s">
        <v>525</v>
      </c>
    </row>
    <row r="39" spans="1:5" x14ac:dyDescent="0.3">
      <c r="A39" s="8" t="s">
        <v>527</v>
      </c>
      <c r="B39" s="5" t="s">
        <v>528</v>
      </c>
      <c r="C39" s="6" t="s">
        <v>529</v>
      </c>
      <c r="D39" s="6" t="s">
        <v>526</v>
      </c>
      <c r="E39" s="7" t="s">
        <v>530</v>
      </c>
    </row>
    <row r="40" spans="1:5" x14ac:dyDescent="0.3">
      <c r="A40" s="8" t="s">
        <v>531</v>
      </c>
      <c r="B40" s="5" t="s">
        <v>532</v>
      </c>
      <c r="C40" s="6" t="s">
        <v>533</v>
      </c>
      <c r="D40" s="6" t="s">
        <v>437</v>
      </c>
      <c r="E40" s="7" t="s">
        <v>534</v>
      </c>
    </row>
    <row r="41" spans="1:5" x14ac:dyDescent="0.3">
      <c r="A41" s="3" t="s">
        <v>30</v>
      </c>
      <c r="B41" s="3" t="str">
        <f>VLOOKUP(A41,'[1]XGV Data'!$C$2:$M$330,2,FALSE)</f>
        <v>THREAD FORM SCREW 1/4X5/8 LG.</v>
      </c>
      <c r="C41" s="3" t="str">
        <f>VLOOKUP(A41, '[1]XGV Data'!$C$2:$K$359,3, FALSE)</f>
        <v>1/4"DIA.-20UNC-2AX5/8"LG., THREAD FORMING SCREW, WASHER HD. PER ANSI B18.6.4;STEEL, ZINC PLATED;A-C #CP-611-469-220;**;</v>
      </c>
      <c r="D41" s="3" t="s">
        <v>24</v>
      </c>
      <c r="E41" s="4" t="s">
        <v>31</v>
      </c>
    </row>
    <row r="42" spans="1:5" x14ac:dyDescent="0.3">
      <c r="A42" s="8" t="s">
        <v>30</v>
      </c>
      <c r="B42" s="5" t="s">
        <v>535</v>
      </c>
      <c r="C42" s="6" t="s">
        <v>536</v>
      </c>
      <c r="D42" s="6" t="s">
        <v>437</v>
      </c>
      <c r="E42" s="7" t="s">
        <v>31</v>
      </c>
    </row>
    <row r="43" spans="1:5" x14ac:dyDescent="0.3">
      <c r="A43" s="3" t="s">
        <v>32</v>
      </c>
      <c r="B43" s="3" t="str">
        <f>VLOOKUP(A43,'[1]XGV Data'!$C$2:$M$330,2,FALSE)</f>
        <v>LOCKWASHER, 1/2"</v>
      </c>
      <c r="C43" s="3" t="str">
        <f>VLOOKUP(A43, '[1]XGV Data'!$C$2:$K$359,3, FALSE)</f>
        <v>LOCKWASHER, 1/2";(A) NOMINAL SIZE;REGULAR SPRING LOCKWASHER;STEEL;PER ASA STD B27.1;NOT PLATED;NON-LINKING TYPE;</v>
      </c>
      <c r="D43" s="3" t="s">
        <v>24</v>
      </c>
      <c r="E43" s="4" t="s">
        <v>33</v>
      </c>
    </row>
    <row r="44" spans="1:5" x14ac:dyDescent="0.3">
      <c r="A44" s="3" t="s">
        <v>34</v>
      </c>
      <c r="B44" s="3" t="str">
        <f>VLOOKUP(A44,'[1]XGV Data'!$C$2:$M$330,2,FALSE)</f>
        <v>5/16" SPRING L'WASHER</v>
      </c>
      <c r="C44" s="3" t="str">
        <f>VLOOKUP(A44, '[1]XGV Data'!$C$2:$K$359,3, FALSE)</f>
        <v>5/16" SPRING L'WASHER;(A) NOMINAL SIZE;REGULAR SPRING LOCKWASHER;STEEL;PER ASA STD B27.1;NOT PLATED;NON-LINKING TYPE;</v>
      </c>
      <c r="D44" s="3" t="s">
        <v>24</v>
      </c>
      <c r="E44" s="4" t="s">
        <v>35</v>
      </c>
    </row>
    <row r="45" spans="1:5" x14ac:dyDescent="0.3">
      <c r="A45" s="3" t="s">
        <v>36</v>
      </c>
      <c r="B45" s="3" t="str">
        <f>VLOOKUP(A45,'[1]XGV Data'!$C$2:$M$330,2,FALSE)</f>
        <v>PLUG 1" SQ HD SOLID</v>
      </c>
      <c r="C45" s="3" t="str">
        <f>VLOOKUP(A45, '[1]XGV Data'!$C$2:$K$359,3, FALSE)</f>
        <v>PLUG PIPE 1" NPTE SCREWED PER ANSI B16.14;SQUARE HEAD SOLID TYPE;CARBON STEEL;</v>
      </c>
      <c r="D45" s="3" t="s">
        <v>24</v>
      </c>
      <c r="E45" s="4" t="s">
        <v>37</v>
      </c>
    </row>
    <row r="46" spans="1:5" x14ac:dyDescent="0.3">
      <c r="A46" s="3" t="s">
        <v>38</v>
      </c>
      <c r="B46" s="3" t="str">
        <f>VLOOKUP(A46,'[1]XGV Data'!$C$2:$M$330,2,FALSE)</f>
        <v>FITTING,GREASE 1/4"NPTE</v>
      </c>
      <c r="C46" s="3" t="str">
        <f>VLOOKUP(A46, '[1]XGV Data'!$C$2:$K$359,3, FALSE)</f>
        <v>1/4"NPTE SCREWED TYPE 67.5 DEGREE TYPE,SURFACE BALL CHECK;31/32"OVERALL LENGTH STEEL, CASE HARDENED ZINC PLATED.</v>
      </c>
      <c r="D46" s="9" t="s">
        <v>419</v>
      </c>
      <c r="E46" s="4" t="s">
        <v>420</v>
      </c>
    </row>
    <row r="47" spans="1:5" x14ac:dyDescent="0.3">
      <c r="A47" s="8" t="s">
        <v>537</v>
      </c>
      <c r="B47" s="5" t="s">
        <v>538</v>
      </c>
      <c r="C47" s="6" t="s">
        <v>539</v>
      </c>
      <c r="D47" s="6" t="s">
        <v>450</v>
      </c>
      <c r="E47" s="7" t="s">
        <v>540</v>
      </c>
    </row>
    <row r="48" spans="1:5" ht="28.8" x14ac:dyDescent="0.3">
      <c r="A48" s="8" t="s">
        <v>541</v>
      </c>
      <c r="B48" s="5" t="s">
        <v>542</v>
      </c>
      <c r="C48" s="6" t="s">
        <v>543</v>
      </c>
      <c r="D48" s="6" t="s">
        <v>544</v>
      </c>
      <c r="E48" s="7" t="s">
        <v>545</v>
      </c>
    </row>
    <row r="49" spans="1:5" x14ac:dyDescent="0.3">
      <c r="A49" s="8" t="s">
        <v>546</v>
      </c>
      <c r="B49" s="5" t="s">
        <v>547</v>
      </c>
      <c r="C49" s="6" t="s">
        <v>548</v>
      </c>
      <c r="D49" s="6" t="s">
        <v>469</v>
      </c>
      <c r="E49" s="7" t="s">
        <v>549</v>
      </c>
    </row>
    <row r="50" spans="1:5" x14ac:dyDescent="0.3">
      <c r="A50" s="3" t="s">
        <v>39</v>
      </c>
      <c r="B50" s="3" t="str">
        <f>VLOOKUP(A50,'[1]XGV Data'!$C$2:$M$330,2,FALSE)</f>
        <v>SCREW, HHC 1/2-13 X 2-1/2</v>
      </c>
      <c r="C50" s="3" t="str">
        <f>VLOOKUP(A50, '[1]XGV Data'!$C$2:$K$359,3, FALSE)</f>
        <v>CAPSCREW, HEX HD 1/2" DIA 13UNC-2A X 2-1/2" LG;MAT'L:  304 OR 305 STAINLESS STEEL;</v>
      </c>
      <c r="D50" s="3" t="s">
        <v>6</v>
      </c>
      <c r="E50" s="4" t="s">
        <v>40</v>
      </c>
    </row>
    <row r="51" spans="1:5" x14ac:dyDescent="0.3">
      <c r="A51" s="8" t="s">
        <v>550</v>
      </c>
      <c r="B51" s="5" t="s">
        <v>551</v>
      </c>
      <c r="C51" s="6" t="s">
        <v>552</v>
      </c>
      <c r="D51" s="6" t="s">
        <v>469</v>
      </c>
      <c r="E51" s="7" t="s">
        <v>553</v>
      </c>
    </row>
    <row r="52" spans="1:5" x14ac:dyDescent="0.3">
      <c r="A52" s="3" t="s">
        <v>41</v>
      </c>
      <c r="B52" s="3" t="str">
        <f>VLOOKUP(A52,'[1]XGV Data'!$C$2:$M$330,2,FALSE)</f>
        <v>SCREW,SELF TAPPING, 3/8X1.00</v>
      </c>
      <c r="C52" s="3" t="str">
        <f>VLOOKUP(A52, '[1]XGV Data'!$C$2:$K$359,3, FALSE)</f>
        <v>SELF-TAPPING SCREW W/HEX WASHER HEAD, 3/8" X 1.00";MAT'L:  ZINC-PLATED HARDENED STEEL W/TYPE B POINT;</v>
      </c>
      <c r="D52" s="3" t="s">
        <v>42</v>
      </c>
      <c r="E52" s="4" t="s">
        <v>43</v>
      </c>
    </row>
    <row r="53" spans="1:5" x14ac:dyDescent="0.3">
      <c r="A53" s="8" t="s">
        <v>554</v>
      </c>
      <c r="B53" s="5" t="s">
        <v>555</v>
      </c>
      <c r="C53" s="6" t="s">
        <v>556</v>
      </c>
      <c r="D53" s="6" t="s">
        <v>117</v>
      </c>
      <c r="E53" s="7" t="s">
        <v>557</v>
      </c>
    </row>
    <row r="54" spans="1:5" ht="72" x14ac:dyDescent="0.3">
      <c r="A54" s="8" t="s">
        <v>558</v>
      </c>
      <c r="B54" s="5" t="s">
        <v>559</v>
      </c>
      <c r="C54" s="6" t="s">
        <v>560</v>
      </c>
      <c r="D54" s="6" t="s">
        <v>117</v>
      </c>
      <c r="E54" s="7" t="s">
        <v>561</v>
      </c>
    </row>
    <row r="55" spans="1:5" x14ac:dyDescent="0.3">
      <c r="A55" s="8" t="s">
        <v>562</v>
      </c>
      <c r="B55" s="5" t="s">
        <v>563</v>
      </c>
      <c r="C55" s="6" t="s">
        <v>564</v>
      </c>
      <c r="D55" s="6" t="s">
        <v>391</v>
      </c>
      <c r="E55" s="7" t="s">
        <v>565</v>
      </c>
    </row>
    <row r="56" spans="1:5" x14ac:dyDescent="0.3">
      <c r="A56" s="8" t="s">
        <v>566</v>
      </c>
      <c r="B56" s="5" t="s">
        <v>567</v>
      </c>
      <c r="C56" s="6" t="s">
        <v>568</v>
      </c>
      <c r="D56" s="6" t="s">
        <v>391</v>
      </c>
      <c r="E56" s="7" t="s">
        <v>569</v>
      </c>
    </row>
    <row r="57" spans="1:5" x14ac:dyDescent="0.3">
      <c r="A57" s="8" t="s">
        <v>570</v>
      </c>
      <c r="B57" s="5" t="s">
        <v>571</v>
      </c>
      <c r="C57" s="6" t="s">
        <v>572</v>
      </c>
      <c r="D57" s="6" t="s">
        <v>437</v>
      </c>
      <c r="E57" s="7" t="s">
        <v>573</v>
      </c>
    </row>
    <row r="58" spans="1:5" x14ac:dyDescent="0.3">
      <c r="A58" s="8" t="s">
        <v>574</v>
      </c>
      <c r="B58" s="5" t="s">
        <v>575</v>
      </c>
      <c r="C58" s="6" t="s">
        <v>576</v>
      </c>
      <c r="D58" s="6" t="s">
        <v>391</v>
      </c>
      <c r="E58" s="7" t="s">
        <v>577</v>
      </c>
    </row>
    <row r="59" spans="1:5" x14ac:dyDescent="0.3">
      <c r="A59" s="8" t="s">
        <v>578</v>
      </c>
      <c r="B59" s="5" t="s">
        <v>579</v>
      </c>
      <c r="C59" s="6" t="s">
        <v>580</v>
      </c>
      <c r="D59" s="6" t="s">
        <v>117</v>
      </c>
      <c r="E59" s="7" t="s">
        <v>581</v>
      </c>
    </row>
    <row r="60" spans="1:5" x14ac:dyDescent="0.3">
      <c r="A60" s="3" t="s">
        <v>44</v>
      </c>
      <c r="B60" s="3" t="str">
        <f>VLOOKUP(A60,'[1]XGV Data'!$C$2:$M$330,2,FALSE)</f>
        <v>PUSH NUT BOLT RETAINER</v>
      </c>
      <c r="C60" s="3" t="str">
        <f>VLOOKUP(A60, '[1]XGV Data'!$C$2:$K$359,3, FALSE)</f>
        <v>PUSH NUT FOR THREAD ROD AND STUD;BLACK PHOSPHATE STEEL;1/2" DIAMETER OF HEAD;1/4" BOLT SIZE;5/64" HEIGHT OF PUSH NUT;</v>
      </c>
      <c r="D60" s="3" t="s">
        <v>24</v>
      </c>
      <c r="E60" s="4" t="s">
        <v>45</v>
      </c>
    </row>
    <row r="61" spans="1:5" x14ac:dyDescent="0.3">
      <c r="A61" s="3" t="s">
        <v>46</v>
      </c>
      <c r="B61" s="3" t="str">
        <f>VLOOKUP(A61,'[1]XGV Data'!$C$2:$M$330,2,FALSE)</f>
        <v>1/4-20UNC-1/2 HEXHEAD CAPSCREW</v>
      </c>
      <c r="C61" s="3" t="str">
        <f>VLOOKUP(A61, '[1]XGV Data'!$C$2:$K$359,3, FALSE)</f>
        <v>1/4-20UNC-2B, STEEL 1/2" LONG;ZINC PLATED GRADE 5 STEEL;HEX HEAD CAP SCREW WITH SERRATED FLANGE;</v>
      </c>
      <c r="D61" s="3" t="s">
        <v>24</v>
      </c>
      <c r="E61" s="4" t="s">
        <v>47</v>
      </c>
    </row>
    <row r="62" spans="1:5" x14ac:dyDescent="0.3">
      <c r="A62" s="3" t="s">
        <v>48</v>
      </c>
      <c r="B62" s="3" t="str">
        <f>VLOOKUP(A62,'[1]XGV Data'!$C$2:$M$330,2,FALSE)</f>
        <v>CAP, GREASE FITTING</v>
      </c>
      <c r="C62" s="3" t="str">
        <f>VLOOKUP(A62, '[1]XGV Data'!$C$2:$K$359,3, FALSE)</f>
        <v>GREASE FITTING CAP RED COLOR;</v>
      </c>
      <c r="D62" s="3" t="s">
        <v>6</v>
      </c>
      <c r="E62" s="4" t="s">
        <v>49</v>
      </c>
    </row>
    <row r="63" spans="1:5" x14ac:dyDescent="0.3">
      <c r="A63" s="3" t="s">
        <v>50</v>
      </c>
      <c r="B63" s="3" t="str">
        <f>VLOOKUP(A63,'[1]XGV Data'!$C$2:$M$330,2,FALSE)</f>
        <v>CAPSCREW SKT HD</v>
      </c>
      <c r="C63" s="3" t="str">
        <f>VLOOKUP(A63, '[1]XGV Data'!$C$2:$K$359,3, FALSE)</f>
        <v>CAPSCREW SKT HD .25-20UNC X 3/4";.25"-20UNC-2A X 3/4" LG. STEEL;DIMENSIONS TO CONFORM TO ANSI STANDARD B18.2.1;LOW CARBON STEEL, SAE GRADE 2;</v>
      </c>
      <c r="D63" s="3" t="s">
        <v>6</v>
      </c>
      <c r="E63" s="4" t="s">
        <v>51</v>
      </c>
    </row>
    <row r="64" spans="1:5" x14ac:dyDescent="0.3">
      <c r="A64" s="8" t="s">
        <v>582</v>
      </c>
      <c r="B64" s="5" t="s">
        <v>583</v>
      </c>
      <c r="C64" s="6" t="s">
        <v>584</v>
      </c>
      <c r="D64" s="6"/>
      <c r="E64" s="7"/>
    </row>
    <row r="65" spans="1:5" x14ac:dyDescent="0.3">
      <c r="A65" s="8" t="s">
        <v>585</v>
      </c>
      <c r="B65" s="5" t="s">
        <v>586</v>
      </c>
      <c r="C65" s="6" t="s">
        <v>587</v>
      </c>
      <c r="D65" s="6" t="s">
        <v>512</v>
      </c>
      <c r="E65" s="7" t="s">
        <v>588</v>
      </c>
    </row>
    <row r="66" spans="1:5" x14ac:dyDescent="0.3">
      <c r="A66" s="8" t="s">
        <v>589</v>
      </c>
      <c r="B66" s="5" t="s">
        <v>590</v>
      </c>
      <c r="C66" s="6" t="s">
        <v>591</v>
      </c>
      <c r="D66" s="6" t="s">
        <v>469</v>
      </c>
      <c r="E66" s="7" t="s">
        <v>592</v>
      </c>
    </row>
    <row r="67" spans="1:5" x14ac:dyDescent="0.3">
      <c r="A67" s="8" t="s">
        <v>593</v>
      </c>
      <c r="B67" s="5" t="s">
        <v>594</v>
      </c>
      <c r="C67" s="6" t="s">
        <v>595</v>
      </c>
      <c r="D67" s="6" t="s">
        <v>450</v>
      </c>
      <c r="E67" s="7" t="s">
        <v>596</v>
      </c>
    </row>
    <row r="68" spans="1:5" ht="28.8" x14ac:dyDescent="0.3">
      <c r="A68" s="8" t="s">
        <v>597</v>
      </c>
      <c r="B68" s="5" t="s">
        <v>598</v>
      </c>
      <c r="C68" s="6" t="s">
        <v>599</v>
      </c>
      <c r="D68" s="6" t="s">
        <v>450</v>
      </c>
      <c r="E68" s="7" t="s">
        <v>600</v>
      </c>
    </row>
    <row r="69" spans="1:5" x14ac:dyDescent="0.3">
      <c r="A69" s="3" t="s">
        <v>52</v>
      </c>
      <c r="B69" s="3" t="str">
        <f>VLOOKUP(A69,'[1]XGV Data'!$C$2:$M$330,2,FALSE)</f>
        <v>HEX HD .375-16 X 3.000</v>
      </c>
      <c r="C69" s="3" t="str">
        <f>VLOOKUP(A69, '[1]XGV Data'!$C$2:$K$359,3, FALSE)</f>
        <v>SPECIAL BIN MIN ORDERING SYSTEM. SEE BUYER FOR DETAILS. SCREW, CAP, HEXAGON HEAD;AMER. STD. B18.2.1;STANDARD THREAD LENGTH;THREAD: UNC-2A;MATERIAL: STEEL, SAE GRADE 2 NOT PLATED;1. FOR GENERAL SPECIFICATION SEE 00-600-025;   STEEL SAE GRADE 2 OR ASTM A-307 WHERE APPLICABLE;   MNC 403 @NONPREFERRED.</v>
      </c>
      <c r="D69" s="3" t="s">
        <v>24</v>
      </c>
      <c r="E69" s="4" t="s">
        <v>53</v>
      </c>
    </row>
    <row r="70" spans="1:5" x14ac:dyDescent="0.3">
      <c r="A70" s="3" t="s">
        <v>54</v>
      </c>
      <c r="B70" s="3" t="str">
        <f>VLOOKUP(A70,'[1]XGV Data'!$C$2:$M$330,2,FALSE)</f>
        <v>HEX HD .375-16 X 3.500</v>
      </c>
      <c r="C70" s="3" t="str">
        <f>VLOOKUP(A70, '[1]XGV Data'!$C$2:$K$359,3, FALSE)</f>
        <v>HHCS .375 X 3.5 = 5 GAL CAN;SCREW, CAP, HEXAGON HEAD;AMER. STD. B18.2.1;STANDARD THREAD LENGTH;THREAD: UNC-2A;MATERIAL: STEEL, SAE GRADE 2 NOT PLATED;1. FOR GENERAL SPECIFICATION SEE 00-600-025;   STEEL SAE GRADE 2 OR ASTM A-307 WHERE APPLICABLE;   MNC 403 @NONPREFERRED.</v>
      </c>
      <c r="D70" s="3" t="s">
        <v>24</v>
      </c>
      <c r="E70" s="4" t="s">
        <v>55</v>
      </c>
    </row>
    <row r="71" spans="1:5" x14ac:dyDescent="0.3">
      <c r="A71" s="3" t="s">
        <v>56</v>
      </c>
      <c r="B71" s="3" t="str">
        <f>VLOOKUP(A71,'[1]XGV Data'!$C$2:$M$330,2,FALSE)</f>
        <v>HH CAP SCREW</v>
      </c>
      <c r="C71" s="3" t="str">
        <f>VLOOKUP(A71, '[1]XGV Data'!$C$2:$K$359,3, FALSE)</f>
        <v>HH CAP SCREW .437-14 X 1 UNC-2A, ST;EEL SAE GR. 2 NOT PLATED;ORIGINAL DWG SENT TO B&amp;G;</v>
      </c>
      <c r="D71" s="3" t="s">
        <v>6</v>
      </c>
      <c r="E71" s="4" t="s">
        <v>57</v>
      </c>
    </row>
    <row r="72" spans="1:5" x14ac:dyDescent="0.3">
      <c r="A72" s="8" t="s">
        <v>601</v>
      </c>
      <c r="B72" s="5" t="s">
        <v>602</v>
      </c>
      <c r="C72" s="6" t="s">
        <v>603</v>
      </c>
      <c r="D72" s="6" t="s">
        <v>437</v>
      </c>
      <c r="E72" s="7" t="s">
        <v>604</v>
      </c>
    </row>
    <row r="73" spans="1:5" x14ac:dyDescent="0.3">
      <c r="A73" s="3" t="s">
        <v>58</v>
      </c>
      <c r="B73" s="3" t="str">
        <f>VLOOKUP(A73,'[1]XGV Data'!$C$2:$M$330,2,FALSE)</f>
        <v>HHS .750-10 X 2.500</v>
      </c>
      <c r="C73" s="3" t="str">
        <f>VLOOKUP(A73, '[1]XGV Data'!$C$2:$K$359,3, FALSE)</f>
        <v>SPECIAL BIN MIN ORDERING SYSTEM. SEE BUYER FOR DETAILS. SCREW, CAP, HEXAGON HEAD;AMER. STD. B18.2.1;STANDARD THREAD LENGTH;THREAD: UNC-2A;MATERIAL: STEEL, SAE GRADE 2 NOT PLATED;1. FOR GENERAL SPECIFICATION SEE 00-600-025;   STEEL SAE GRADE 2 OR ASTM A-307 WHERE APPLICABLE;   MNC 403 @NONPREFERRED.</v>
      </c>
      <c r="D73" s="3" t="s">
        <v>6</v>
      </c>
      <c r="E73" s="4" t="s">
        <v>59</v>
      </c>
    </row>
    <row r="74" spans="1:5" x14ac:dyDescent="0.3">
      <c r="A74" s="3" t="s">
        <v>60</v>
      </c>
      <c r="B74" s="3" t="str">
        <f>VLOOKUP(A74,'[1]XGV Data'!$C$2:$M$330,2,FALSE)</f>
        <v>SCREW, .625-11UNC-2A,1.750LG.</v>
      </c>
      <c r="C74" s="3" t="str">
        <f>VLOOKUP(A74, '[1]XGV Data'!$C$2:$K$359,3, FALSE)</f>
        <v>SPECIAL BIN MIN ORDERING SYSTEM. SEE BUYER FOR DETAILS. SCREW, CAP - HEXAGON HEAD, .625-11UNC-2A X 1.750"LG. AMER. STANDARD B18.2.1;STANDARD THREAD LENGTH;THREAD: UNC-2A;MATERIAL: STEEL, SAE GRADE 5;FINISH: PLAIN;</v>
      </c>
      <c r="D74" s="3" t="s">
        <v>6</v>
      </c>
      <c r="E74" s="4" t="s">
        <v>61</v>
      </c>
    </row>
    <row r="75" spans="1:5" ht="28.8" x14ac:dyDescent="0.3">
      <c r="A75" s="8" t="s">
        <v>60</v>
      </c>
      <c r="B75" s="5" t="s">
        <v>605</v>
      </c>
      <c r="C75" s="6" t="s">
        <v>606</v>
      </c>
      <c r="D75" s="6" t="s">
        <v>437</v>
      </c>
      <c r="E75" s="7" t="s">
        <v>607</v>
      </c>
    </row>
    <row r="76" spans="1:5" x14ac:dyDescent="0.3">
      <c r="A76" s="3" t="s">
        <v>62</v>
      </c>
      <c r="B76" s="3" t="str">
        <f>VLOOKUP(A76,'[1]XGV Data'!$C$2:$M$330,2,FALSE)</f>
        <v>HHS .625-11UNC-2A X 2"LG.</v>
      </c>
      <c r="C76" s="3" t="str">
        <f>VLOOKUP(A76, '[1]XGV Data'!$C$2:$K$359,3, FALSE)</f>
        <v>SPECIAL BIN MIN ORDERING SYSTEM. SEE BUYER FOR DETAILS. SCREW, CAP - HEXAGON HEAD, .625-11UNC-2A X 2.000"LG. AMER. STANDARD B18.2.1;STANDARD THREAD LENGTH;THREAD: UNC-2A;MATERIAL: STEEL, SAE GRADE 5;FINISH: PLAIN;</v>
      </c>
      <c r="D76" s="3" t="s">
        <v>6</v>
      </c>
      <c r="E76" s="4" t="s">
        <v>63</v>
      </c>
    </row>
    <row r="77" spans="1:5" ht="28.8" x14ac:dyDescent="0.3">
      <c r="A77" s="8" t="s">
        <v>62</v>
      </c>
      <c r="B77" s="5" t="s">
        <v>608</v>
      </c>
      <c r="C77" s="6" t="s">
        <v>609</v>
      </c>
      <c r="D77" s="6" t="s">
        <v>437</v>
      </c>
      <c r="E77" s="7" t="s">
        <v>610</v>
      </c>
    </row>
    <row r="78" spans="1:5" ht="28.8" x14ac:dyDescent="0.3">
      <c r="A78" s="8" t="s">
        <v>611</v>
      </c>
      <c r="B78" s="5" t="s">
        <v>612</v>
      </c>
      <c r="C78" s="6" t="s">
        <v>613</v>
      </c>
      <c r="D78" s="6" t="s">
        <v>450</v>
      </c>
      <c r="E78" s="7" t="s">
        <v>614</v>
      </c>
    </row>
    <row r="79" spans="1:5" x14ac:dyDescent="0.3">
      <c r="A79" s="3" t="s">
        <v>64</v>
      </c>
      <c r="B79" s="3" t="str">
        <f>VLOOKUP(A79,'[1]XGV Data'!$C$2:$M$330,2,FALSE)</f>
        <v>SCREW CAP, .625-11UNC-2AX2.5LG</v>
      </c>
      <c r="C79" s="3" t="str">
        <f>VLOOKUP(A79, '[1]XGV Data'!$C$2:$K$359,3, FALSE)</f>
        <v>SPECIAL BIN MIN ORDERING SYSTEM. SEE BUYER FOR DETAILS. SCREW, CAP - HEXAGON HEAD, .625-11UNC-2A X 2.500"LG. AMER. STANDARD B18.2.1;STANDARD THREAD LENGTH;THREAD: UNC-2A;MATERIAL: STEEL, SAE GRADE 5;FINISH: PLAIN;</v>
      </c>
      <c r="D79" s="3" t="s">
        <v>6</v>
      </c>
      <c r="E79" s="4" t="s">
        <v>65</v>
      </c>
    </row>
    <row r="80" spans="1:5" ht="28.8" x14ac:dyDescent="0.3">
      <c r="A80" s="8" t="s">
        <v>615</v>
      </c>
      <c r="B80" s="5" t="s">
        <v>616</v>
      </c>
      <c r="C80" s="6" t="s">
        <v>617</v>
      </c>
      <c r="D80" s="6" t="s">
        <v>450</v>
      </c>
      <c r="E80" s="7" t="s">
        <v>618</v>
      </c>
    </row>
    <row r="81" spans="1:5" x14ac:dyDescent="0.3">
      <c r="A81" s="3" t="s">
        <v>66</v>
      </c>
      <c r="B81" s="3" t="str">
        <f>VLOOKUP(A81,'[1]XGV Data'!$C$2:$M$330,2,FALSE)</f>
        <v>HH CAP SCREW</v>
      </c>
      <c r="C81" s="3" t="str">
        <f>VLOOKUP(A81, '[1]XGV Data'!$C$2:$K$359,3, FALSE)</f>
        <v>HH CAP SCREW  3/8 X 1 1/8    AMER.S;TD. B18.2.1, UNC-2A THREAD;STAINLESS STEEL  302 OR 304, NOT PL;ATED;ORIGINAL DWG SENT TO B&amp;G;</v>
      </c>
      <c r="D81" s="3" t="s">
        <v>6</v>
      </c>
      <c r="E81" s="4" t="s">
        <v>67</v>
      </c>
    </row>
    <row r="82" spans="1:5" x14ac:dyDescent="0.3">
      <c r="A82" s="8" t="s">
        <v>619</v>
      </c>
      <c r="B82" s="5" t="s">
        <v>620</v>
      </c>
      <c r="C82" s="6" t="s">
        <v>621</v>
      </c>
      <c r="D82" s="6" t="s">
        <v>622</v>
      </c>
      <c r="E82" s="7" t="s">
        <v>623</v>
      </c>
    </row>
    <row r="83" spans="1:5" x14ac:dyDescent="0.3">
      <c r="A83" s="3" t="s">
        <v>68</v>
      </c>
      <c r="B83" s="3" t="str">
        <f>VLOOKUP(A83,'[1]XGV Data'!$C$2:$M$330,2,FALSE)</f>
        <v>HHS .375-16UNC-2A X 1.75"LG.</v>
      </c>
      <c r="C83" s="3" t="str">
        <f>VLOOKUP(A83, '[1]XGV Data'!$C$2:$K$359,3, FALSE)</f>
        <v>HEX HEAD CAP SCREW, 3/8-16UNC-2A X 1.75"LG. AMER. STD. B18.2.1;STD. THREAD LENGTH;MATERIAL-STAINLESS STEEL AISI TYPE 316;FINISH: NOT PLATED;</v>
      </c>
      <c r="D83" s="3" t="s">
        <v>6</v>
      </c>
      <c r="E83" s="4" t="s">
        <v>69</v>
      </c>
    </row>
    <row r="84" spans="1:5" x14ac:dyDescent="0.3">
      <c r="A84" s="3" t="s">
        <v>70</v>
      </c>
      <c r="B84" s="3" t="str">
        <f>VLOOKUP(A84,'[1]XGV Data'!$C$2:$M$330,2,FALSE)</f>
        <v>HHS .375-16UNC-2A X 2.75"LG.</v>
      </c>
      <c r="C84" s="3" t="str">
        <f>VLOOKUP(A84, '[1]XGV Data'!$C$2:$K$359,3, FALSE)</f>
        <v>HEX HD CAP SCREW .375-16UNC-2A X 2.75"LG. AMER. STD. B18.2.1;STD. THREAD LENGTH;MATERIAL-STAINLESS STEEL AISI TYPE 316;FINISH: NOT PLATED;</v>
      </c>
      <c r="D84" s="3" t="s">
        <v>6</v>
      </c>
      <c r="E84" s="4" t="s">
        <v>71</v>
      </c>
    </row>
    <row r="85" spans="1:5" ht="28.8" x14ac:dyDescent="0.3">
      <c r="A85" s="8" t="s">
        <v>624</v>
      </c>
      <c r="B85" s="5" t="s">
        <v>625</v>
      </c>
      <c r="C85" s="6" t="s">
        <v>626</v>
      </c>
      <c r="D85" s="6" t="s">
        <v>622</v>
      </c>
      <c r="E85" s="7" t="s">
        <v>627</v>
      </c>
    </row>
    <row r="86" spans="1:5" x14ac:dyDescent="0.3">
      <c r="A86" s="3" t="s">
        <v>72</v>
      </c>
      <c r="B86" s="3" t="str">
        <f>VLOOKUP(A86,'[1]XGV Data'!$C$2:$M$330,2,FALSE)</f>
        <v>HHS .500-13UNC-2A X 2"LG.</v>
      </c>
      <c r="C86" s="3" t="str">
        <f>VLOOKUP(A86, '[1]XGV Data'!$C$2:$K$359,3, FALSE)</f>
        <v>HEX HD CAP SCREW .500-13UNC-2A X 2.00"LG. AMER. STD. B18.2.1;STD. THREAD LENGTH;MATERIAL-STAINLESS STEEL AISI TYPE 316;FINISH: NOT PLATED;</v>
      </c>
      <c r="D86" s="3" t="s">
        <v>6</v>
      </c>
      <c r="E86" s="4" t="s">
        <v>73</v>
      </c>
    </row>
    <row r="87" spans="1:5" x14ac:dyDescent="0.3">
      <c r="A87" s="8" t="s">
        <v>628</v>
      </c>
      <c r="B87" s="5" t="s">
        <v>629</v>
      </c>
      <c r="C87" s="6" t="s">
        <v>630</v>
      </c>
      <c r="D87" s="6" t="s">
        <v>631</v>
      </c>
      <c r="E87" s="7" t="s">
        <v>632</v>
      </c>
    </row>
    <row r="88" spans="1:5" x14ac:dyDescent="0.3">
      <c r="A88" s="8" t="s">
        <v>633</v>
      </c>
      <c r="B88" s="5" t="s">
        <v>634</v>
      </c>
      <c r="C88" s="6" t="s">
        <v>635</v>
      </c>
      <c r="D88" s="6" t="s">
        <v>622</v>
      </c>
      <c r="E88" s="7" t="s">
        <v>636</v>
      </c>
    </row>
    <row r="89" spans="1:5" x14ac:dyDescent="0.3">
      <c r="A89" s="8" t="s">
        <v>637</v>
      </c>
      <c r="B89" s="5" t="s">
        <v>638</v>
      </c>
      <c r="C89" s="6" t="s">
        <v>639</v>
      </c>
      <c r="D89" s="6" t="s">
        <v>437</v>
      </c>
      <c r="E89" s="7" t="s">
        <v>640</v>
      </c>
    </row>
    <row r="90" spans="1:5" ht="28.8" x14ac:dyDescent="0.3">
      <c r="A90" s="8" t="s">
        <v>641</v>
      </c>
      <c r="B90" s="5" t="s">
        <v>642</v>
      </c>
      <c r="C90" s="6" t="s">
        <v>643</v>
      </c>
      <c r="D90" s="6" t="s">
        <v>437</v>
      </c>
      <c r="E90" s="7" t="s">
        <v>644</v>
      </c>
    </row>
    <row r="91" spans="1:5" x14ac:dyDescent="0.3">
      <c r="A91" s="3" t="s">
        <v>74</v>
      </c>
      <c r="B91" s="3" t="str">
        <f>VLOOKUP(A91,'[1]XGV Data'!$C$2:$M$330,2,FALSE)</f>
        <v>SCREW SET HEX .250-20X.188</v>
      </c>
      <c r="C91" s="3" t="str">
        <f>VLOOKUP(A91, '[1]XGV Data'!$C$2:$K$359,3, FALSE)</f>
        <v>SCREW SET, HEX SOCKET, HEADLESS CUP POINT .250-20X.188;PER ASA STANDARD B18.3;STAINLESS STEEL AISI 316;THREADS TO BE PER UNC-3A;NOT PLATED;</v>
      </c>
      <c r="D91" s="3" t="s">
        <v>24</v>
      </c>
      <c r="E91" s="4" t="s">
        <v>75</v>
      </c>
    </row>
    <row r="92" spans="1:5" x14ac:dyDescent="0.3">
      <c r="A92" s="3" t="s">
        <v>76</v>
      </c>
      <c r="B92" s="3" t="str">
        <f>VLOOKUP(A92,'[1]XGV Data'!$C$2:$M$330,2,FALSE)</f>
        <v>SCREW SET, .25-20UNC-3AX.25LG.</v>
      </c>
      <c r="C92" s="3" t="str">
        <f>VLOOKUP(A92, '[1]XGV Data'!$C$2:$K$359,3, FALSE)</f>
        <v>SCREW SET, HEX SOCKET, .250-20UNC-3A X .25"LG. HEADLESS CUP POINT;PER ASA STD B18.3;STAINLESS STEEL AISI 316 NOT PLATED.</v>
      </c>
      <c r="D92" s="3" t="s">
        <v>24</v>
      </c>
      <c r="E92" s="4" t="s">
        <v>77</v>
      </c>
    </row>
    <row r="93" spans="1:5" ht="28.8" x14ac:dyDescent="0.3">
      <c r="A93" s="8" t="s">
        <v>645</v>
      </c>
      <c r="B93" s="5" t="s">
        <v>646</v>
      </c>
      <c r="C93" s="6" t="s">
        <v>647</v>
      </c>
      <c r="D93" s="6" t="s">
        <v>648</v>
      </c>
      <c r="E93" s="7" t="s">
        <v>442</v>
      </c>
    </row>
    <row r="94" spans="1:5" x14ac:dyDescent="0.3">
      <c r="A94" s="8" t="s">
        <v>649</v>
      </c>
      <c r="B94" s="5" t="s">
        <v>650</v>
      </c>
      <c r="C94" s="6" t="s">
        <v>651</v>
      </c>
      <c r="D94" s="6" t="s">
        <v>437</v>
      </c>
      <c r="E94" s="7" t="s">
        <v>652</v>
      </c>
    </row>
    <row r="95" spans="1:5" x14ac:dyDescent="0.3">
      <c r="A95" s="3" t="s">
        <v>78</v>
      </c>
      <c r="B95" s="3" t="str">
        <f>VLOOKUP(A95,'[1]XGV Data'!$C$2:$M$330,2,FALSE)</f>
        <v>C'SCREW, .875 X 2"LG.</v>
      </c>
      <c r="C95" s="3" t="str">
        <f>VLOOKUP(A95, '[1]XGV Data'!$C$2:$K$359,3, FALSE)</f>
        <v>SPECIAL BIN MIN ORDERING SYSTEM. SEE BUYER FOR DETAILS. SCREW, CAP COUNTERBORE, .875 X 2"LG. (1960 SERIES);STEEL SAE 8637;UNC-3A;NOT PLATED;</v>
      </c>
      <c r="D95" s="3" t="s">
        <v>6</v>
      </c>
      <c r="E95" s="4" t="s">
        <v>79</v>
      </c>
    </row>
    <row r="96" spans="1:5" x14ac:dyDescent="0.3">
      <c r="A96" s="8" t="s">
        <v>653</v>
      </c>
      <c r="B96" s="5" t="s">
        <v>654</v>
      </c>
      <c r="C96" s="6" t="s">
        <v>655</v>
      </c>
      <c r="D96" s="6" t="s">
        <v>437</v>
      </c>
      <c r="E96" s="7" t="s">
        <v>656</v>
      </c>
    </row>
    <row r="97" spans="1:5" x14ac:dyDescent="0.3">
      <c r="A97" s="8" t="s">
        <v>657</v>
      </c>
      <c r="B97" s="5" t="s">
        <v>658</v>
      </c>
      <c r="C97" s="6" t="s">
        <v>659</v>
      </c>
      <c r="D97" s="6" t="s">
        <v>437</v>
      </c>
      <c r="E97" s="7" t="s">
        <v>660</v>
      </c>
    </row>
    <row r="98" spans="1:5" x14ac:dyDescent="0.3">
      <c r="A98" s="3" t="s">
        <v>80</v>
      </c>
      <c r="B98" s="3" t="str">
        <f>VLOOKUP(A98,'[1]XGV Data'!$C$2:$M$330,2,FALSE)</f>
        <v>C'SCREW, .875 X 2.75"LG.</v>
      </c>
      <c r="C98" s="3" t="str">
        <f>VLOOKUP(A98, '[1]XGV Data'!$C$2:$K$359,3, FALSE)</f>
        <v>SPECIAL BIN MIN ORDERING SYSTEM. SEE BUYER FOR DETAILS. SCREW, CAP COUNTERBORE, .875 X 2.75"LG. (1960 SERIES);STEEL SAE 8637;UNC-3A;NOT PLATED;</v>
      </c>
      <c r="D98" s="3" t="s">
        <v>81</v>
      </c>
      <c r="E98" s="4" t="s">
        <v>82</v>
      </c>
    </row>
    <row r="99" spans="1:5" x14ac:dyDescent="0.3">
      <c r="A99" s="8" t="s">
        <v>661</v>
      </c>
      <c r="B99" s="5" t="s">
        <v>662</v>
      </c>
      <c r="C99" s="6" t="s">
        <v>663</v>
      </c>
      <c r="D99" s="6" t="s">
        <v>437</v>
      </c>
      <c r="E99" s="7" t="s">
        <v>664</v>
      </c>
    </row>
    <row r="100" spans="1:5" x14ac:dyDescent="0.3">
      <c r="A100" s="8" t="s">
        <v>665</v>
      </c>
      <c r="B100" s="5" t="s">
        <v>666</v>
      </c>
      <c r="C100" s="6" t="s">
        <v>667</v>
      </c>
      <c r="D100" s="6" t="s">
        <v>437</v>
      </c>
      <c r="E100" s="7" t="s">
        <v>668</v>
      </c>
    </row>
    <row r="101" spans="1:5" x14ac:dyDescent="0.3">
      <c r="A101" s="8" t="s">
        <v>669</v>
      </c>
      <c r="B101" s="5" t="s">
        <v>670</v>
      </c>
      <c r="C101" s="6" t="s">
        <v>671</v>
      </c>
      <c r="D101" s="6" t="s">
        <v>437</v>
      </c>
      <c r="E101" s="7" t="s">
        <v>672</v>
      </c>
    </row>
    <row r="102" spans="1:5" x14ac:dyDescent="0.3">
      <c r="A102" s="8" t="s">
        <v>673</v>
      </c>
      <c r="B102" s="5" t="s">
        <v>674</v>
      </c>
      <c r="C102" s="6" t="s">
        <v>675</v>
      </c>
      <c r="D102" s="6" t="s">
        <v>437</v>
      </c>
      <c r="E102" s="7" t="s">
        <v>676</v>
      </c>
    </row>
    <row r="103" spans="1:5" x14ac:dyDescent="0.3">
      <c r="A103" s="3" t="s">
        <v>83</v>
      </c>
      <c r="B103" s="3" t="str">
        <f>VLOOKUP(A103,'[1]XGV Data'!$C$2:$M$330,2,FALSE)</f>
        <v>NUT, .75-10UNC-2B</v>
      </c>
      <c r="C103" s="3" t="str">
        <f>VLOOKUP(A103, '[1]XGV Data'!$C$2:$K$359,3, FALSE)</f>
        <v>SPECIAL BIN MIN ORDERING SYSTEM. SEE BUYER FOR DETAILS. NUT, HVY HEX., .750-10UNC-2B;SAE GRADE 2 STEEL NUT;PER AMERICAN STD B18.2.2;NOT PLATED.</v>
      </c>
      <c r="D103" s="3" t="s">
        <v>42</v>
      </c>
      <c r="E103" s="4" t="s">
        <v>84</v>
      </c>
    </row>
    <row r="104" spans="1:5" x14ac:dyDescent="0.3">
      <c r="A104" s="8" t="s">
        <v>677</v>
      </c>
      <c r="B104" s="5" t="s">
        <v>678</v>
      </c>
      <c r="C104" s="6" t="s">
        <v>679</v>
      </c>
      <c r="D104" s="6" t="s">
        <v>437</v>
      </c>
      <c r="E104" s="7" t="s">
        <v>680</v>
      </c>
    </row>
    <row r="105" spans="1:5" x14ac:dyDescent="0.3">
      <c r="A105" s="3" t="s">
        <v>85</v>
      </c>
      <c r="B105" s="3" t="str">
        <f>VLOOKUP(A105,'[1]XGV Data'!$C$2:$M$330,2,FALSE)</f>
        <v>WASHER,.406 X .812 X .065TK.</v>
      </c>
      <c r="C105" s="3" t="str">
        <f>VLOOKUP(A105, '[1]XGV Data'!$C$2:$K$359,3, FALSE)</f>
        <v>WASHER PLAIN ROUND STEEL;NOT PLATED;.406 I.D. X .812 O.D. X .065 THICK.</v>
      </c>
      <c r="D105" s="3" t="s">
        <v>6</v>
      </c>
      <c r="E105" s="4" t="s">
        <v>86</v>
      </c>
    </row>
    <row r="106" spans="1:5" x14ac:dyDescent="0.3">
      <c r="A106" s="8" t="s">
        <v>681</v>
      </c>
      <c r="B106" s="5" t="s">
        <v>682</v>
      </c>
      <c r="C106" s="6" t="s">
        <v>683</v>
      </c>
      <c r="D106" s="6" t="s">
        <v>437</v>
      </c>
      <c r="E106" s="7" t="s">
        <v>684</v>
      </c>
    </row>
    <row r="107" spans="1:5" x14ac:dyDescent="0.3">
      <c r="A107" s="3" t="s">
        <v>87</v>
      </c>
      <c r="B107" s="3" t="str">
        <f>VLOOKUP(A107,'[1]XGV Data'!$C$2:$M$330,2,FALSE)</f>
        <v>WASHER,.812 X 2.0 X .148TK.</v>
      </c>
      <c r="C107" s="3" t="str">
        <f>VLOOKUP(A107, '[1]XGV Data'!$C$2:$K$359,3, FALSE)</f>
        <v>WASHER PLAIN ROUND STEEL;NOT PLATED;.812 I.D. X 2.0 O.D. X .148 THICK.</v>
      </c>
      <c r="D107" s="3" t="s">
        <v>6</v>
      </c>
      <c r="E107" s="4" t="s">
        <v>88</v>
      </c>
    </row>
    <row r="108" spans="1:5" x14ac:dyDescent="0.3">
      <c r="A108" s="3" t="s">
        <v>89</v>
      </c>
      <c r="B108" s="3" t="str">
        <f>VLOOKUP(A108,'[1]XGV Data'!$C$2:$M$330,2,FALSE)</f>
        <v>LOCKWASHER, 3/4"</v>
      </c>
      <c r="C108" s="3" t="str">
        <f>VLOOKUP(A108, '[1]XGV Data'!$C$2:$K$359,3, FALSE)</f>
        <v>SPECIAL BIN MIN ORDERING SYSTEM. SEE BUYER FOR DETAILS. NOMINAL SIZE, 3/4";REGULAR SPRING LOCKWASHER;STEEL PER ASA STD B27.1;NOT PLATED;NON-LINKING TYPE;</v>
      </c>
      <c r="D108" s="3" t="s">
        <v>6</v>
      </c>
      <c r="E108" s="4" t="s">
        <v>90</v>
      </c>
    </row>
    <row r="109" spans="1:5" x14ac:dyDescent="0.3">
      <c r="A109" s="8" t="s">
        <v>91</v>
      </c>
      <c r="B109" s="5" t="s">
        <v>685</v>
      </c>
      <c r="C109" s="6" t="s">
        <v>686</v>
      </c>
      <c r="D109" s="6" t="s">
        <v>437</v>
      </c>
      <c r="E109" s="7" t="s">
        <v>687</v>
      </c>
    </row>
    <row r="110" spans="1:5" x14ac:dyDescent="0.3">
      <c r="A110" s="8" t="s">
        <v>688</v>
      </c>
      <c r="B110" s="5" t="s">
        <v>689</v>
      </c>
      <c r="C110" s="6" t="s">
        <v>690</v>
      </c>
      <c r="D110" s="6" t="s">
        <v>486</v>
      </c>
      <c r="E110" s="7" t="s">
        <v>691</v>
      </c>
    </row>
    <row r="111" spans="1:5" x14ac:dyDescent="0.3">
      <c r="A111" s="8" t="s">
        <v>692</v>
      </c>
      <c r="B111" s="5" t="s">
        <v>693</v>
      </c>
      <c r="C111" s="6" t="s">
        <v>694</v>
      </c>
      <c r="D111" s="6" t="s">
        <v>469</v>
      </c>
      <c r="E111" s="7" t="s">
        <v>695</v>
      </c>
    </row>
    <row r="112" spans="1:5" x14ac:dyDescent="0.3">
      <c r="A112" s="8" t="s">
        <v>696</v>
      </c>
      <c r="B112" s="5" t="s">
        <v>697</v>
      </c>
      <c r="C112" s="6" t="s">
        <v>698</v>
      </c>
      <c r="D112" s="6" t="s">
        <v>699</v>
      </c>
      <c r="E112" s="7" t="s">
        <v>700</v>
      </c>
    </row>
    <row r="113" spans="1:5" x14ac:dyDescent="0.3">
      <c r="A113" s="8" t="s">
        <v>701</v>
      </c>
      <c r="B113" s="5" t="s">
        <v>702</v>
      </c>
      <c r="C113" s="6" t="s">
        <v>703</v>
      </c>
      <c r="D113" s="6" t="s">
        <v>699</v>
      </c>
      <c r="E113" s="7" t="s">
        <v>704</v>
      </c>
    </row>
    <row r="114" spans="1:5" x14ac:dyDescent="0.3">
      <c r="A114" s="8" t="s">
        <v>705</v>
      </c>
      <c r="B114" s="5" t="s">
        <v>706</v>
      </c>
      <c r="C114" s="6" t="s">
        <v>707</v>
      </c>
      <c r="D114" s="6" t="s">
        <v>622</v>
      </c>
      <c r="E114" s="7" t="s">
        <v>708</v>
      </c>
    </row>
    <row r="115" spans="1:5" x14ac:dyDescent="0.3">
      <c r="A115" s="8" t="s">
        <v>709</v>
      </c>
      <c r="B115" s="5" t="s">
        <v>710</v>
      </c>
      <c r="C115" s="6" t="s">
        <v>711</v>
      </c>
      <c r="D115" s="6" t="s">
        <v>437</v>
      </c>
      <c r="E115" s="7" t="s">
        <v>712</v>
      </c>
    </row>
    <row r="116" spans="1:5" x14ac:dyDescent="0.3">
      <c r="A116" s="8" t="s">
        <v>713</v>
      </c>
      <c r="B116" s="5" t="s">
        <v>714</v>
      </c>
      <c r="C116" s="6" t="s">
        <v>715</v>
      </c>
      <c r="D116" s="6" t="s">
        <v>699</v>
      </c>
      <c r="E116" s="7" t="s">
        <v>716</v>
      </c>
    </row>
    <row r="117" spans="1:5" x14ac:dyDescent="0.3">
      <c r="A117" s="8" t="s">
        <v>717</v>
      </c>
      <c r="B117" s="5" t="s">
        <v>718</v>
      </c>
      <c r="C117" s="6"/>
      <c r="D117" s="6" t="s">
        <v>492</v>
      </c>
      <c r="E117" s="7" t="s">
        <v>719</v>
      </c>
    </row>
    <row r="118" spans="1:5" x14ac:dyDescent="0.3">
      <c r="A118" s="8" t="s">
        <v>720</v>
      </c>
      <c r="B118" s="5" t="s">
        <v>721</v>
      </c>
      <c r="C118" s="6" t="s">
        <v>722</v>
      </c>
      <c r="D118" s="6" t="s">
        <v>492</v>
      </c>
      <c r="E118" s="7" t="s">
        <v>723</v>
      </c>
    </row>
    <row r="119" spans="1:5" x14ac:dyDescent="0.3">
      <c r="A119" s="3" t="s">
        <v>92</v>
      </c>
      <c r="B119" s="3" t="str">
        <f>VLOOKUP(A119,'[1]XGV Data'!$C$2:$M$330,2,FALSE)</f>
        <v>ELBOW, 90 DEG. SCREWED PIPE</v>
      </c>
      <c r="C119" s="3" t="str">
        <f>VLOOKUP(A119, '[1]XGV Data'!$C$2:$K$359,3, FALSE)</f>
        <v>1/4" NPTI;SCREWED PIPE 90 DEG. ELBOW;PER AMER STD B16.3;150 LB. STEAM BANDED;MALLEABLE IRON;TYPE OF FINISH: BLACK;</v>
      </c>
      <c r="D119" s="3" t="s">
        <v>6</v>
      </c>
      <c r="E119" s="4" t="s">
        <v>93</v>
      </c>
    </row>
    <row r="120" spans="1:5" x14ac:dyDescent="0.3">
      <c r="A120" s="8" t="s">
        <v>724</v>
      </c>
      <c r="B120" s="5" t="s">
        <v>725</v>
      </c>
      <c r="C120" s="6" t="s">
        <v>726</v>
      </c>
      <c r="D120" s="6" t="s">
        <v>699</v>
      </c>
      <c r="E120" s="7" t="s">
        <v>727</v>
      </c>
    </row>
    <row r="121" spans="1:5" x14ac:dyDescent="0.3">
      <c r="A121" s="8" t="s">
        <v>728</v>
      </c>
      <c r="B121" s="5" t="s">
        <v>729</v>
      </c>
      <c r="C121" s="6" t="s">
        <v>730</v>
      </c>
      <c r="D121" s="6" t="s">
        <v>622</v>
      </c>
      <c r="E121" s="7" t="s">
        <v>731</v>
      </c>
    </row>
    <row r="122" spans="1:5" x14ac:dyDescent="0.3">
      <c r="A122" s="8" t="s">
        <v>732</v>
      </c>
      <c r="B122" s="5" t="s">
        <v>733</v>
      </c>
      <c r="C122" s="6" t="s">
        <v>734</v>
      </c>
      <c r="D122" s="6" t="s">
        <v>492</v>
      </c>
      <c r="E122" s="7" t="s">
        <v>735</v>
      </c>
    </row>
    <row r="123" spans="1:5" x14ac:dyDescent="0.3">
      <c r="A123" s="8" t="s">
        <v>736</v>
      </c>
      <c r="B123" s="5" t="s">
        <v>737</v>
      </c>
      <c r="C123" s="6" t="s">
        <v>738</v>
      </c>
      <c r="D123" s="6" t="s">
        <v>492</v>
      </c>
      <c r="E123" s="7" t="s">
        <v>739</v>
      </c>
    </row>
    <row r="124" spans="1:5" x14ac:dyDescent="0.3">
      <c r="A124" s="3" t="s">
        <v>94</v>
      </c>
      <c r="B124" s="3" t="str">
        <f>VLOOKUP(A124,'[1]XGV Data'!$C$2:$M$330,2,FALSE)</f>
        <v>PIPE PLUG, BRASS SQ HEAD SOLID</v>
      </c>
      <c r="C124" s="3" t="str">
        <f>VLOOKUP(A124, '[1]XGV Data'!$C$2:$K$359,3, FALSE)</f>
        <v>1/2" NPTE X .563" WIDTH ACROSS FLATS MAX. SCREWED PIPE PLUG;PER AMER STD B16.15;SQUARE HEAD, SOLID TYPE;BRASS, ROUGH;</v>
      </c>
      <c r="D124" s="3" t="s">
        <v>6</v>
      </c>
      <c r="E124" s="4" t="s">
        <v>95</v>
      </c>
    </row>
    <row r="125" spans="1:5" x14ac:dyDescent="0.3">
      <c r="A125" s="8" t="s">
        <v>740</v>
      </c>
      <c r="B125" s="5" t="s">
        <v>733</v>
      </c>
      <c r="C125" s="6" t="s">
        <v>741</v>
      </c>
      <c r="D125" s="6" t="s">
        <v>492</v>
      </c>
      <c r="E125" s="7" t="s">
        <v>742</v>
      </c>
    </row>
    <row r="126" spans="1:5" x14ac:dyDescent="0.3">
      <c r="A126" s="8" t="s">
        <v>743</v>
      </c>
      <c r="B126" s="5" t="s">
        <v>733</v>
      </c>
      <c r="C126" s="6" t="s">
        <v>744</v>
      </c>
      <c r="D126" s="6" t="s">
        <v>492</v>
      </c>
      <c r="E126" s="7" t="s">
        <v>745</v>
      </c>
    </row>
    <row r="127" spans="1:5" x14ac:dyDescent="0.3">
      <c r="A127" s="8" t="s">
        <v>746</v>
      </c>
      <c r="B127" s="5" t="s">
        <v>747</v>
      </c>
      <c r="C127" s="6" t="s">
        <v>748</v>
      </c>
      <c r="D127" s="6" t="s">
        <v>437</v>
      </c>
      <c r="E127" s="7" t="s">
        <v>749</v>
      </c>
    </row>
    <row r="128" spans="1:5" x14ac:dyDescent="0.3">
      <c r="A128" s="8" t="s">
        <v>750</v>
      </c>
      <c r="B128" s="5" t="s">
        <v>751</v>
      </c>
      <c r="C128" s="6" t="s">
        <v>752</v>
      </c>
      <c r="D128" s="6" t="s">
        <v>631</v>
      </c>
      <c r="E128" s="7" t="s">
        <v>753</v>
      </c>
    </row>
    <row r="129" spans="1:5" x14ac:dyDescent="0.3">
      <c r="A129" s="3" t="s">
        <v>96</v>
      </c>
      <c r="B129" s="3" t="str">
        <f>VLOOKUP(A129,'[1]XGV Data'!$C$2:$M$330,2,FALSE)</f>
        <v>FITTING, 1/4" X 29/32" LG.</v>
      </c>
      <c r="C129" s="3" t="str">
        <f>VLOOKUP(A129, '[1]XGV Data'!$C$2:$K$359,3, FALSE)</f>
        <v>1/4" NPTE;SCREWED LUBRICATING FITTING;STRAIGHT TYPE, SURFACE BALL CHECK;29/32" OVERALL LENGTH;STEEL, CASE HARDENED;ZINC PLATED;ALEMITE # 1627-B;</v>
      </c>
      <c r="D129" s="3" t="s">
        <v>419</v>
      </c>
      <c r="E129" s="4" t="s">
        <v>421</v>
      </c>
    </row>
    <row r="130" spans="1:5" ht="43.2" x14ac:dyDescent="0.3">
      <c r="A130" s="8" t="s">
        <v>754</v>
      </c>
      <c r="B130" s="5" t="s">
        <v>755</v>
      </c>
      <c r="C130" s="6" t="s">
        <v>756</v>
      </c>
      <c r="D130" s="6" t="s">
        <v>500</v>
      </c>
      <c r="E130" s="7" t="s">
        <v>505</v>
      </c>
    </row>
    <row r="131" spans="1:5" ht="28.8" x14ac:dyDescent="0.3">
      <c r="A131" s="8" t="s">
        <v>757</v>
      </c>
      <c r="B131" s="5" t="s">
        <v>758</v>
      </c>
      <c r="C131" s="6" t="s">
        <v>759</v>
      </c>
      <c r="D131" s="6" t="s">
        <v>500</v>
      </c>
      <c r="E131" s="7" t="s">
        <v>505</v>
      </c>
    </row>
    <row r="132" spans="1:5" ht="28.8" x14ac:dyDescent="0.3">
      <c r="A132" s="8" t="s">
        <v>760</v>
      </c>
      <c r="B132" s="5" t="s">
        <v>761</v>
      </c>
      <c r="C132" s="6" t="s">
        <v>762</v>
      </c>
      <c r="D132" s="6" t="s">
        <v>500</v>
      </c>
      <c r="E132" s="7" t="s">
        <v>505</v>
      </c>
    </row>
    <row r="133" spans="1:5" ht="28.8" x14ac:dyDescent="0.3">
      <c r="A133" s="8" t="s">
        <v>763</v>
      </c>
      <c r="B133" s="5" t="s">
        <v>764</v>
      </c>
      <c r="C133" s="6" t="s">
        <v>765</v>
      </c>
      <c r="D133" s="6" t="s">
        <v>500</v>
      </c>
      <c r="E133" s="7" t="s">
        <v>505</v>
      </c>
    </row>
    <row r="134" spans="1:5" ht="43.2" x14ac:dyDescent="0.3">
      <c r="A134" s="8" t="s">
        <v>766</v>
      </c>
      <c r="B134" s="5" t="s">
        <v>767</v>
      </c>
      <c r="C134" s="6" t="s">
        <v>768</v>
      </c>
      <c r="D134" s="6" t="s">
        <v>500</v>
      </c>
      <c r="E134" s="7" t="s">
        <v>505</v>
      </c>
    </row>
    <row r="135" spans="1:5" ht="28.8" x14ac:dyDescent="0.3">
      <c r="A135" s="8" t="s">
        <v>769</v>
      </c>
      <c r="B135" s="5" t="s">
        <v>770</v>
      </c>
      <c r="C135" s="6" t="s">
        <v>771</v>
      </c>
      <c r="D135" s="6" t="s">
        <v>500</v>
      </c>
      <c r="E135" s="7" t="s">
        <v>505</v>
      </c>
    </row>
    <row r="136" spans="1:5" ht="28.8" x14ac:dyDescent="0.3">
      <c r="A136" s="8" t="s">
        <v>772</v>
      </c>
      <c r="B136" s="5" t="s">
        <v>773</v>
      </c>
      <c r="C136" s="6" t="s">
        <v>774</v>
      </c>
      <c r="D136" s="6" t="s">
        <v>500</v>
      </c>
      <c r="E136" s="7" t="s">
        <v>505</v>
      </c>
    </row>
    <row r="137" spans="1:5" ht="28.8" x14ac:dyDescent="0.3">
      <c r="A137" s="8" t="s">
        <v>775</v>
      </c>
      <c r="B137" s="5" t="s">
        <v>776</v>
      </c>
      <c r="C137" s="6" t="s">
        <v>777</v>
      </c>
      <c r="D137" s="6" t="s">
        <v>500</v>
      </c>
      <c r="E137" s="7" t="s">
        <v>505</v>
      </c>
    </row>
    <row r="138" spans="1:5" ht="28.8" x14ac:dyDescent="0.3">
      <c r="A138" s="8" t="s">
        <v>778</v>
      </c>
      <c r="B138" s="5" t="s">
        <v>779</v>
      </c>
      <c r="C138" s="6" t="s">
        <v>780</v>
      </c>
      <c r="D138" s="6" t="s">
        <v>500</v>
      </c>
      <c r="E138" s="7" t="s">
        <v>505</v>
      </c>
    </row>
    <row r="139" spans="1:5" ht="43.2" x14ac:dyDescent="0.3">
      <c r="A139" s="8" t="s">
        <v>781</v>
      </c>
      <c r="B139" s="5" t="s">
        <v>782</v>
      </c>
      <c r="C139" s="6" t="s">
        <v>783</v>
      </c>
      <c r="D139" s="6" t="s">
        <v>500</v>
      </c>
      <c r="E139" s="7" t="s">
        <v>505</v>
      </c>
    </row>
    <row r="140" spans="1:5" ht="28.8" x14ac:dyDescent="0.3">
      <c r="A140" s="8" t="s">
        <v>784</v>
      </c>
      <c r="B140" s="5" t="s">
        <v>785</v>
      </c>
      <c r="C140" s="6" t="s">
        <v>786</v>
      </c>
      <c r="D140" s="6" t="s">
        <v>500</v>
      </c>
      <c r="E140" s="7" t="s">
        <v>505</v>
      </c>
    </row>
    <row r="141" spans="1:5" ht="43.2" x14ac:dyDescent="0.3">
      <c r="A141" s="8" t="s">
        <v>787</v>
      </c>
      <c r="B141" s="5" t="s">
        <v>788</v>
      </c>
      <c r="C141" s="6" t="s">
        <v>789</v>
      </c>
      <c r="D141" s="6" t="s">
        <v>500</v>
      </c>
      <c r="E141" s="7" t="s">
        <v>505</v>
      </c>
    </row>
    <row r="142" spans="1:5" x14ac:dyDescent="0.3">
      <c r="A142" s="8" t="s">
        <v>97</v>
      </c>
      <c r="B142" s="5" t="s">
        <v>790</v>
      </c>
      <c r="C142" s="6" t="s">
        <v>791</v>
      </c>
      <c r="D142" s="6" t="s">
        <v>469</v>
      </c>
      <c r="E142" s="7" t="s">
        <v>792</v>
      </c>
    </row>
    <row r="143" spans="1:5" x14ac:dyDescent="0.3">
      <c r="A143" s="3" t="s">
        <v>99</v>
      </c>
      <c r="B143" s="3" t="str">
        <f>VLOOKUP(A143,'[1]XGV Data'!$C$2:$M$330,2,FALSE)</f>
        <v>LOCKNUT, BRG.</v>
      </c>
      <c r="C143" s="3" t="str">
        <f>VLOOKUP(A143, '[1]XGV Data'!$C$2:$K$359,3, FALSE)</f>
        <v>LOCKNUTS, FOR BALL AND ROLLER;BRG. PER AMER. STD B3-9 CARBON STEEL;ASA NO. N-07;</v>
      </c>
      <c r="D143" s="3" t="s">
        <v>98</v>
      </c>
      <c r="E143" s="4" t="s">
        <v>100</v>
      </c>
    </row>
    <row r="144" spans="1:5" x14ac:dyDescent="0.3">
      <c r="A144" s="8" t="s">
        <v>101</v>
      </c>
      <c r="B144" s="5" t="s">
        <v>790</v>
      </c>
      <c r="C144" s="6" t="s">
        <v>793</v>
      </c>
      <c r="D144" s="6" t="s">
        <v>469</v>
      </c>
      <c r="E144" s="7" t="s">
        <v>794</v>
      </c>
    </row>
    <row r="145" spans="1:5" x14ac:dyDescent="0.3">
      <c r="A145" s="3" t="s">
        <v>102</v>
      </c>
      <c r="B145" s="3" t="str">
        <f>VLOOKUP(A145,'[1]XGV Data'!$C$2:$M$330,2,FALSE)</f>
        <v>LOCKNUT BRG</v>
      </c>
      <c r="C145" s="3" t="str">
        <f>VLOOKUP(A145, '[1]XGV Data'!$C$2:$K$359,3, FALSE)</f>
        <v>LOCKNUTS, FOR BALL AND ROLLER BEARI;NG, CARBON STEEL N-09;</v>
      </c>
      <c r="D145" s="3" t="s">
        <v>98</v>
      </c>
      <c r="E145" s="4" t="s">
        <v>103</v>
      </c>
    </row>
    <row r="146" spans="1:5" x14ac:dyDescent="0.3">
      <c r="A146" s="3" t="s">
        <v>104</v>
      </c>
      <c r="B146" s="3" t="str">
        <f>VLOOKUP(A146,'[1]XGV Data'!$C$2:$M$330,2,FALSE)</f>
        <v>LOCKNUT, BRG.</v>
      </c>
      <c r="C146" s="3" t="str">
        <f>VLOOKUP(A146, '[1]XGV Data'!$C$2:$K$359,3, FALSE)</f>
        <v>LOCKNUTS, FOR;BALL AND ROLLER BEARING;PER AMER STD B3-9;CARBON STEEL;ASA NO. N-11;</v>
      </c>
      <c r="D146" s="3" t="s">
        <v>98</v>
      </c>
      <c r="E146" s="4" t="s">
        <v>105</v>
      </c>
    </row>
    <row r="147" spans="1:5" x14ac:dyDescent="0.3">
      <c r="A147" s="3" t="s">
        <v>106</v>
      </c>
      <c r="B147" s="3" t="str">
        <f>VLOOKUP(A147,'[1]XGV Data'!$C$2:$M$330,2,FALSE)</f>
        <v>LOCKWASHER, BRG.</v>
      </c>
      <c r="C147" s="3" t="str">
        <f>VLOOKUP(A147, '[1]XGV Data'!$C$2:$K$359,3, FALSE)</f>
        <v>LOCKWASHER, FOR;BALL AND ROLLER BEARING;PER AMER. STD B3-9;CARBON STEEL;ASA NO. W-06;</v>
      </c>
      <c r="D147" s="3" t="s">
        <v>6</v>
      </c>
      <c r="E147" s="4" t="s">
        <v>107</v>
      </c>
    </row>
    <row r="148" spans="1:5" x14ac:dyDescent="0.3">
      <c r="A148" s="3" t="s">
        <v>108</v>
      </c>
      <c r="B148" s="3" t="str">
        <f>VLOOKUP(A148,'[1]XGV Data'!$C$2:$M$330,2,FALSE)</f>
        <v>LOCKWASHER, BRG.</v>
      </c>
      <c r="C148" s="3" t="str">
        <f>VLOOKUP(A148, '[1]XGV Data'!$C$2:$K$359,3, FALSE)</f>
        <v>LOCKWASHER, FOR;BALL AND ROLLER BEARING;PER AMER. STD B3-9;CARBON STEEL;ASA NO. W-07;</v>
      </c>
      <c r="D148" s="3" t="s">
        <v>6</v>
      </c>
      <c r="E148" s="4" t="s">
        <v>109</v>
      </c>
    </row>
    <row r="149" spans="1:5" x14ac:dyDescent="0.3">
      <c r="A149" s="3" t="s">
        <v>110</v>
      </c>
      <c r="B149" s="3" t="str">
        <f>VLOOKUP(A149,'[1]XGV Data'!$C$2:$M$330,2,FALSE)</f>
        <v>LOCKWASHER, BRG.</v>
      </c>
      <c r="C149" s="3" t="str">
        <f>VLOOKUP(A149, '[1]XGV Data'!$C$2:$K$359,3, FALSE)</f>
        <v>LOCKWASHER, FOR;BALL AND ROLLER BEARING;PER AMER. STD B3-9;CARBON STEEL;ASA NO. W-08;</v>
      </c>
      <c r="D149" s="3" t="s">
        <v>6</v>
      </c>
      <c r="E149" s="4" t="s">
        <v>111</v>
      </c>
    </row>
    <row r="150" spans="1:5" x14ac:dyDescent="0.3">
      <c r="A150" s="3" t="s">
        <v>112</v>
      </c>
      <c r="B150" s="3" t="str">
        <f>VLOOKUP(A150,'[1]XGV Data'!$C$2:$M$330,2,FALSE)</f>
        <v>LOCKWASHR BRG</v>
      </c>
      <c r="C150" s="3" t="str">
        <f>VLOOKUP(A150, '[1]XGV Data'!$C$2:$K$359,3, FALSE)</f>
        <v>LOCKWASHER FOR BALL AND ROLLER BEAR;ING PER AMER STD B3-09;CARBON STEEL ASA # W-09;</v>
      </c>
      <c r="D150" s="3" t="s">
        <v>6</v>
      </c>
      <c r="E150" s="4" t="s">
        <v>113</v>
      </c>
    </row>
    <row r="151" spans="1:5" x14ac:dyDescent="0.3">
      <c r="A151" s="3" t="s">
        <v>114</v>
      </c>
      <c r="B151" s="3" t="str">
        <f>VLOOKUP(A151,'[1]XGV Data'!$C$2:$M$330,2,FALSE)</f>
        <v>COUPLING: CLASS 150, NPT, 1/8"</v>
      </c>
      <c r="C151" s="3" t="str">
        <f>VLOOKUP(A151, '[1]XGV Data'!$C$2:$K$359,3, FALSE)</f>
        <v>COUPLING PIPE STD. MERCHANT COUPLING BLACK STEEL;1/8" NPT 9/16" 0.D. X 13/16" LG.</v>
      </c>
      <c r="D151" s="3" t="s">
        <v>6</v>
      </c>
      <c r="E151" s="4" t="s">
        <v>115</v>
      </c>
    </row>
    <row r="152" spans="1:5" x14ac:dyDescent="0.3">
      <c r="A152" s="3" t="s">
        <v>116</v>
      </c>
      <c r="B152" s="3" t="str">
        <f>VLOOKUP(A152,'[1]XGV Data'!$C$2:$M$330,2,FALSE)</f>
        <v>SNAP RING      .787 SHAFT DIA.</v>
      </c>
      <c r="C152" s="3" t="str">
        <f>VLOOKUP(A152, '[1]XGV Data'!$C$2:$K$359,3, FALSE)</f>
        <v>SNAP RING, EXTERNAL SERIES HEAVY DUTY STEEL, .078"TK. X .689"I.D. FREE DIA. FOR .787" SHAFT DIA;</v>
      </c>
      <c r="D152" s="3" t="s">
        <v>117</v>
      </c>
      <c r="E152" s="4" t="s">
        <v>118</v>
      </c>
    </row>
    <row r="153" spans="1:5" x14ac:dyDescent="0.3">
      <c r="A153" s="3" t="s">
        <v>119</v>
      </c>
      <c r="B153" s="3" t="str">
        <f>VLOOKUP(A153,'[1]XGV Data'!$C$2:$M$330,2,FALSE)</f>
        <v>CONN MALE STR  1/4OD X 1/4MPT</v>
      </c>
      <c r="C153" s="3" t="str">
        <f>VLOOKUP(A153, '[1]XGV Data'!$C$2:$K$359,3, FALSE)</f>
        <v>CONNECTOR MALE TUBE FITTING STRAIGHT WITH 1/4";TUBE &amp; 1/4"MPT CONNECTIONS. BRASS.</v>
      </c>
      <c r="D153" s="3" t="s">
        <v>120</v>
      </c>
      <c r="E153" s="4" t="s">
        <v>121</v>
      </c>
    </row>
    <row r="154" spans="1:5" x14ac:dyDescent="0.3">
      <c r="A154" s="3" t="s">
        <v>122</v>
      </c>
      <c r="B154" s="3" t="str">
        <f>VLOOKUP(A154,'[1]XGV Data'!$C$2:$M$330,2,FALSE)</f>
        <v>ELBOW 90 MALE  1/4OD X 1/4MPT</v>
      </c>
      <c r="C154" s="3" t="str">
        <f>VLOOKUP(A154, '[1]XGV Data'!$C$2:$K$359,3, FALSE)</f>
        <v>ELBOW MALE 90 DEGREES TUBE FITTING WITH 1/4" TUBE;&amp;1/4" MPT CONNECTIONS BRASS.</v>
      </c>
      <c r="D154" s="3" t="s">
        <v>120</v>
      </c>
      <c r="E154" s="4" t="s">
        <v>123</v>
      </c>
    </row>
    <row r="155" spans="1:5" x14ac:dyDescent="0.3">
      <c r="A155" s="3" t="s">
        <v>124</v>
      </c>
      <c r="B155" s="3" t="str">
        <f>VLOOKUP(A155,'[1]XGV Data'!$C$2:$M$330,2,FALSE)</f>
        <v>CONN MALE STR  1/4OD X 1/8MPT</v>
      </c>
      <c r="C155" s="3" t="str">
        <f>VLOOKUP(A155, '[1]XGV Data'!$C$2:$K$359,3, FALSE)</f>
        <v>CONNECTOR MALE TUBE FITTING STRAIGHT WITH 1/4";TUBE AND 1/8" MALE PIPE THREAD CONNECTIONS. BRASS;</v>
      </c>
      <c r="D155" s="3" t="s">
        <v>120</v>
      </c>
      <c r="E155" s="4" t="s">
        <v>125</v>
      </c>
    </row>
    <row r="156" spans="1:5" x14ac:dyDescent="0.3">
      <c r="A156" s="3" t="s">
        <v>126</v>
      </c>
      <c r="B156" s="3" t="str">
        <f>VLOOKUP(A156,'[1]XGV Data'!$C$2:$M$330,2,FALSE)</f>
        <v>ELBOW 90 MALE  1/4OD X 1/8MPT</v>
      </c>
      <c r="C156" s="3" t="str">
        <f>VLOOKUP(A156, '[1]XGV Data'!$C$2:$K$359,3, FALSE)</f>
        <v>ELBOW MALE 90 DEGREES TUBE FITTING WITH 1/4" TUBE;&amp; 1/8" MPT CONNECTIONS BRASS.</v>
      </c>
      <c r="D156" s="3" t="s">
        <v>120</v>
      </c>
      <c r="E156" s="4" t="s">
        <v>127</v>
      </c>
    </row>
    <row r="157" spans="1:5" x14ac:dyDescent="0.3">
      <c r="A157" s="8" t="s">
        <v>795</v>
      </c>
      <c r="B157" s="5" t="s">
        <v>796</v>
      </c>
      <c r="C157" s="6" t="s">
        <v>797</v>
      </c>
      <c r="D157" s="6" t="s">
        <v>437</v>
      </c>
      <c r="E157" s="7" t="s">
        <v>798</v>
      </c>
    </row>
    <row r="158" spans="1:5" x14ac:dyDescent="0.3">
      <c r="A158" s="3" t="s">
        <v>128</v>
      </c>
      <c r="B158" s="3" t="str">
        <f>VLOOKUP(A158,'[1]XGV Data'!$C$2:$M$330,2,FALSE)</f>
        <v>CAPSCREW HEX HD5/16-18UNCX1LG</v>
      </c>
      <c r="C158" s="3" t="str">
        <f>VLOOKUP(A158, '[1]XGV Data'!$C$2:$K$359,3, FALSE)</f>
        <v>CAPSCREW, HEX HD. 5/16" DIA 18 UNC 2A X 1" LG. DIMENSIONS TO CONFORM TO ANSI STANDARD B18.2.1;LOW CARBON STEEL, SAE GRADE 2, ZINC PLATED.</v>
      </c>
      <c r="D158" s="3" t="s">
        <v>42</v>
      </c>
      <c r="E158" s="4" t="s">
        <v>129</v>
      </c>
    </row>
    <row r="159" spans="1:5" x14ac:dyDescent="0.3">
      <c r="A159" s="3" t="s">
        <v>130</v>
      </c>
      <c r="B159" s="3" t="str">
        <f>VLOOKUP(A159,'[1]XGV Data'!$C$2:$M$330,2,FALSE)</f>
        <v>CAPSCREW HEX HD3/8-16UNCX3/4LG</v>
      </c>
      <c r="C159" s="3" t="str">
        <f>VLOOKUP(A159, '[1]XGV Data'!$C$2:$K$359,3, FALSE)</f>
        <v>CAPSCREW, HEX HD 3/8" DIA 16 UNC 2A X 3/4" LG. DIMENSIONS TO CONFORM TO ANSI STANDARD B18.2.1;LOW CARBON STEEL, SAE GRADE 2, ZINC PLATED.</v>
      </c>
      <c r="D159" s="3" t="s">
        <v>42</v>
      </c>
      <c r="E159" s="4" t="s">
        <v>131</v>
      </c>
    </row>
    <row r="160" spans="1:5" x14ac:dyDescent="0.3">
      <c r="A160" s="3" t="s">
        <v>132</v>
      </c>
      <c r="B160" s="3" t="str">
        <f>VLOOKUP(A160,'[1]XGV Data'!$C$2:$M$330,2,FALSE)</f>
        <v>CAPSCREW HEX HD3/8-16UNCX1LG</v>
      </c>
      <c r="C160" s="3" t="str">
        <f>VLOOKUP(A160, '[1]XGV Data'!$C$2:$K$359,3, FALSE)</f>
        <v>CAPSCREW,HEX HEAD 3/8" DIA-16UNC-2A X1"LG. DIMENSIONS TO CONFORM TO ANSI STANDARD B18.2.1;LOW CARBON STEEL, SAE GRADE 2, ZINC PLATED.</v>
      </c>
      <c r="D160" s="3" t="s">
        <v>42</v>
      </c>
      <c r="E160" s="4" t="s">
        <v>133</v>
      </c>
    </row>
    <row r="161" spans="1:5" x14ac:dyDescent="0.3">
      <c r="A161" s="3" t="s">
        <v>134</v>
      </c>
      <c r="B161" s="3" t="str">
        <f>VLOOKUP(A161,'[1]XGV Data'!$C$2:$M$330,2,FALSE)</f>
        <v>CAPSCREW HEX HD3/8-16UNCX1-1/4</v>
      </c>
      <c r="C161" s="3" t="str">
        <f>VLOOKUP(A161, '[1]XGV Data'!$C$2:$K$359,3, FALSE)</f>
        <v>CAPSCREW, HEX HD 3/8" DIA 16 UNC 2A X 1-1/4" LG. DIMENSIONS TO CONFORM TO ANSI STANDRAD B18.2.1;LOW CARBON STEEL, SAE GRADE,ZINC PLATED.</v>
      </c>
      <c r="D161" s="3" t="s">
        <v>42</v>
      </c>
      <c r="E161" s="4" t="s">
        <v>135</v>
      </c>
    </row>
    <row r="162" spans="1:5" x14ac:dyDescent="0.3">
      <c r="A162" s="3" t="s">
        <v>136</v>
      </c>
      <c r="B162" s="3" t="str">
        <f>VLOOKUP(A162,'[1]XGV Data'!$C$2:$M$330,2,FALSE)</f>
        <v>CAPSCREW HEX HD3/8-16UNCX2-1/2</v>
      </c>
      <c r="C162" s="3" t="str">
        <f>VLOOKUP(A162, '[1]XGV Data'!$C$2:$K$359,3, FALSE)</f>
        <v>CAPSCREW, HEX HD. 3/8" DIA 16 UNC 2A X 2-1/2" LG. DIMENSIONS TO CONFORM TO ANSI STANDARD B18.2.1;LOW CARBON STEEL, SAE GRADE 2, ZINC PLATED.</v>
      </c>
      <c r="D162" s="3" t="s">
        <v>42</v>
      </c>
      <c r="E162" s="4" t="s">
        <v>137</v>
      </c>
    </row>
    <row r="163" spans="1:5" x14ac:dyDescent="0.3">
      <c r="A163" s="3" t="s">
        <v>138</v>
      </c>
      <c r="B163" s="3" t="str">
        <f>VLOOKUP(A163,'[1]XGV Data'!$C$2:$M$330,2,FALSE)</f>
        <v>CAPSCREW HEX HD3/8-16UNCX2-3/4</v>
      </c>
      <c r="C163" s="3" t="str">
        <f>VLOOKUP(A163, '[1]XGV Data'!$C$2:$K$359,3, FALSE)</f>
        <v>CAPSCREW, HEX HD. 3/8" DIA 16 UNC 2A X 2-3/4" LG. DIMENSIONS TO CONFORM TO ANSI STANDARD B18.2.1;LOW CARBON STEEL, SAE GRADE 2, ZINC PLATED.</v>
      </c>
      <c r="D163" s="3" t="s">
        <v>42</v>
      </c>
      <c r="E163" s="4" t="s">
        <v>139</v>
      </c>
    </row>
    <row r="164" spans="1:5" x14ac:dyDescent="0.3">
      <c r="A164" s="3" t="s">
        <v>140</v>
      </c>
      <c r="B164" s="3" t="str">
        <f>VLOOKUP(A164,'[1]XGV Data'!$C$2:$M$330,2,FALSE)</f>
        <v>CAPSCREW HEX HD3/8-16UNCX3-1/4</v>
      </c>
      <c r="C164" s="3" t="str">
        <f>VLOOKUP(A164, '[1]XGV Data'!$C$2:$K$359,3, FALSE)</f>
        <v>CAPSCREW, HEX. HD. 3/8" DIA 16 UNC-2A X 3-1/4"LG. DIMENSIONS TO CONFORM TO ANSI STANDARD B18.2.1;LOW CARBON STEEL, SAE GRADE 2,ZINC PLATED.</v>
      </c>
      <c r="D164" s="3" t="s">
        <v>42</v>
      </c>
      <c r="E164" s="4" t="s">
        <v>141</v>
      </c>
    </row>
    <row r="165" spans="1:5" x14ac:dyDescent="0.3">
      <c r="A165" s="3" t="s">
        <v>142</v>
      </c>
      <c r="B165" s="3" t="str">
        <f>VLOOKUP(A165,'[1]XGV Data'!$C$2:$M$330,2,FALSE)</f>
        <v>CAPSCREW HEX HD1/2-13UNCX1-1/2</v>
      </c>
      <c r="C165" s="3" t="str">
        <f>VLOOKUP(A165, '[1]XGV Data'!$C$2:$K$359,3, FALSE)</f>
        <v>CAPSCREW, HEX HD. 1/2" DIA 13 UNC 2A X 1-1/2" LG. DIMENSIONS TO CONFORM TO ANSI STANDARD B18.2.1;LOW CARBON STEEL, SAE GRADE 2, ZINC PLATED.</v>
      </c>
      <c r="D165" s="3" t="s">
        <v>42</v>
      </c>
      <c r="E165" s="4" t="s">
        <v>143</v>
      </c>
    </row>
    <row r="166" spans="1:5" x14ac:dyDescent="0.3">
      <c r="A166" s="8" t="s">
        <v>799</v>
      </c>
      <c r="B166" s="5" t="s">
        <v>800</v>
      </c>
      <c r="C166" s="6" t="s">
        <v>801</v>
      </c>
      <c r="D166" s="5" t="s">
        <v>802</v>
      </c>
      <c r="E166" s="7" t="s">
        <v>803</v>
      </c>
    </row>
    <row r="167" spans="1:5" x14ac:dyDescent="0.3">
      <c r="A167" s="3" t="s">
        <v>144</v>
      </c>
      <c r="B167" s="3" t="str">
        <f>VLOOKUP(A167,'[1]XGV Data'!$C$2:$M$330,2,FALSE)</f>
        <v>CAPSCREW HEX HD5/8-11UNCX2LG</v>
      </c>
      <c r="C167" s="3" t="str">
        <f>VLOOKUP(A167, '[1]XGV Data'!$C$2:$K$359,3, FALSE)</f>
        <v>CAPSCREW HEX HD. 5/8" DIA. 11UNC-2A X 2" LG. DIMENSIONS TO CONFORM TO ANSI STANDARD B18.2.1;LOW CARBON STEEL, SAE GRADE 2, ZINC PLATED.</v>
      </c>
      <c r="D167" s="3" t="s">
        <v>42</v>
      </c>
      <c r="E167" s="4" t="s">
        <v>145</v>
      </c>
    </row>
    <row r="168" spans="1:5" x14ac:dyDescent="0.3">
      <c r="A168" s="3" t="s">
        <v>146</v>
      </c>
      <c r="B168" s="3" t="str">
        <f>VLOOKUP(A168,'[1]XGV Data'!$C$2:$M$330,2,FALSE)</f>
        <v>CAPSCREW HEX HD3/4-10UNCX3-1/2</v>
      </c>
      <c r="C168" s="3" t="str">
        <f>VLOOKUP(A168, '[1]XGV Data'!$C$2:$K$359,3, FALSE)</f>
        <v>CAPSCREW HEX HD. 3/4" DIA., 10 UNC-2A X 3-1/2"LG/;DIMENSIONS TO CONFORM TO ANSI STANDRAD B18.2.1;LOW CARBON STEEL, SAE GRADE2, ZINC PLATED.</v>
      </c>
      <c r="D168" s="3" t="s">
        <v>42</v>
      </c>
      <c r="E168" s="4" t="s">
        <v>147</v>
      </c>
    </row>
    <row r="169" spans="1:5" x14ac:dyDescent="0.3">
      <c r="A169" s="3" t="s">
        <v>148</v>
      </c>
      <c r="B169" s="3" t="str">
        <f>VLOOKUP(A169,'[1]XGV Data'!$C$2:$M$330,2,FALSE)</f>
        <v>SET SCR SKT HD #10-24NCX1/4LG</v>
      </c>
      <c r="C169" s="3" t="str">
        <f>VLOOKUP(A169, '[1]XGV Data'!$C$2:$K$359,3, FALSE)</f>
        <v>SET SCREW SKT. HD. (HEX) #10 24UNC-2A X 1/4"LG. NYLOK PATCH, CUP POINT.TYPE 302 STAINLESS STEEL;NO DRILL TO BE DONE INTO THREADS;</v>
      </c>
      <c r="D169" s="3" t="s">
        <v>24</v>
      </c>
      <c r="E169" s="10" t="s">
        <v>149</v>
      </c>
    </row>
    <row r="170" spans="1:5" x14ac:dyDescent="0.3">
      <c r="A170" s="8" t="s">
        <v>804</v>
      </c>
      <c r="B170" s="5" t="s">
        <v>805</v>
      </c>
      <c r="C170" s="6" t="s">
        <v>806</v>
      </c>
      <c r="D170" s="5" t="s">
        <v>807</v>
      </c>
      <c r="E170" s="7" t="s">
        <v>808</v>
      </c>
    </row>
    <row r="171" spans="1:5" x14ac:dyDescent="0.3">
      <c r="A171" s="8" t="s">
        <v>809</v>
      </c>
      <c r="B171" s="5" t="s">
        <v>810</v>
      </c>
      <c r="C171" s="6" t="s">
        <v>811</v>
      </c>
      <c r="D171" s="6" t="s">
        <v>437</v>
      </c>
      <c r="E171" s="7" t="s">
        <v>812</v>
      </c>
    </row>
    <row r="172" spans="1:5" x14ac:dyDescent="0.3">
      <c r="A172" s="8" t="s">
        <v>813</v>
      </c>
      <c r="B172" s="5" t="s">
        <v>814</v>
      </c>
      <c r="C172" s="6" t="s">
        <v>815</v>
      </c>
      <c r="D172" s="6" t="s">
        <v>437</v>
      </c>
      <c r="E172" s="7" t="s">
        <v>816</v>
      </c>
    </row>
    <row r="173" spans="1:5" x14ac:dyDescent="0.3">
      <c r="A173" s="3" t="s">
        <v>150</v>
      </c>
      <c r="B173" s="3" t="str">
        <f>VLOOKUP(A173,'[1]XGV Data'!$C$2:$M$330,2,FALSE)</f>
        <v>NUT HEX STD    5/8-11UNC-2B</v>
      </c>
      <c r="C173" s="3" t="str">
        <f>VLOOKUP(A173, '[1]XGV Data'!$C$2:$K$359,3, FALSE)</f>
        <v>NUT, HEX HVY HEXAGON 5/8"-11UNC-2B STEEL,ZINC;PLATED.</v>
      </c>
      <c r="D173" s="3" t="s">
        <v>42</v>
      </c>
      <c r="E173" s="10" t="s">
        <v>151</v>
      </c>
    </row>
    <row r="174" spans="1:5" x14ac:dyDescent="0.3">
      <c r="A174" s="3" t="s">
        <v>152</v>
      </c>
      <c r="B174" s="3" t="str">
        <f>VLOOKUP(A174,'[1]XGV Data'!$C$2:$M$330,2,FALSE)</f>
        <v>STOP-NUT HEX   1/2-20UNF-2B</v>
      </c>
      <c r="C174" s="3" t="str">
        <f>VLOOKUP(A174, '[1]XGV Data'!$C$2:$K$359,3, FALSE)</f>
        <v>STOP-NUT HEXAGON SELF LOCKING 1/2"-20UNF-2B;BRASS OR BRONZE.</v>
      </c>
      <c r="D174" s="3" t="s">
        <v>6</v>
      </c>
      <c r="E174" s="10" t="s">
        <v>153</v>
      </c>
    </row>
    <row r="175" spans="1:5" x14ac:dyDescent="0.3">
      <c r="A175" s="8" t="s">
        <v>817</v>
      </c>
      <c r="B175" s="5" t="s">
        <v>818</v>
      </c>
      <c r="C175" s="6" t="s">
        <v>819</v>
      </c>
      <c r="D175" s="6" t="s">
        <v>437</v>
      </c>
      <c r="E175" s="7" t="s">
        <v>820</v>
      </c>
    </row>
    <row r="176" spans="1:5" x14ac:dyDescent="0.3">
      <c r="A176" s="8" t="s">
        <v>821</v>
      </c>
      <c r="B176" s="5" t="s">
        <v>822</v>
      </c>
      <c r="C176" s="6" t="s">
        <v>823</v>
      </c>
      <c r="D176" s="6"/>
      <c r="E176" s="6"/>
    </row>
    <row r="177" spans="1:5" x14ac:dyDescent="0.3">
      <c r="A177" s="8" t="s">
        <v>824</v>
      </c>
      <c r="B177" s="5" t="s">
        <v>825</v>
      </c>
      <c r="C177" s="6" t="s">
        <v>826</v>
      </c>
      <c r="D177" s="6" t="s">
        <v>437</v>
      </c>
      <c r="E177" s="7" t="s">
        <v>827</v>
      </c>
    </row>
    <row r="178" spans="1:5" x14ac:dyDescent="0.3">
      <c r="A178" s="3" t="s">
        <v>154</v>
      </c>
      <c r="B178" s="3" t="str">
        <f>VLOOKUP(A178,'[1]XGV Data'!$C$2:$M$330,2,FALSE)</f>
        <v>PIN DRIV-LOK   1/8DIAX3/4LG</v>
      </c>
      <c r="C178" s="3" t="str">
        <f>VLOOKUP(A178, '[1]XGV Data'!$C$2:$K$359,3, FALSE)</f>
        <v>1/8"DIA.X3/4"LG, #303 STAINLESS STEEL;TYPE A-3 OR TYPE U.</v>
      </c>
      <c r="D178" s="3" t="s">
        <v>176</v>
      </c>
      <c r="E178" s="10" t="s">
        <v>414</v>
      </c>
    </row>
    <row r="179" spans="1:5" x14ac:dyDescent="0.3">
      <c r="A179" s="3" t="s">
        <v>155</v>
      </c>
      <c r="B179" s="3" t="str">
        <f>VLOOKUP(A179,'[1]XGV Data'!$C$2:$M$330,2,FALSE)</f>
        <v>PIN DRIV-LOK   1/8DIAX3/8LG</v>
      </c>
      <c r="C179" s="3" t="str">
        <f>VLOOKUP(A179, '[1]XGV Data'!$C$2:$K$359,3, FALSE)</f>
        <v>1/8"DIA.X3/8"LG, #303 STAINLESS STEEL;TYPE A-3 OR TYPE U.</v>
      </c>
      <c r="D179" s="3" t="s">
        <v>176</v>
      </c>
      <c r="E179" s="10" t="s">
        <v>415</v>
      </c>
    </row>
    <row r="180" spans="1:5" x14ac:dyDescent="0.3">
      <c r="A180" s="3" t="s">
        <v>156</v>
      </c>
      <c r="B180" s="3" t="str">
        <f>VLOOKUP(A180,'[1]XGV Data'!$C$2:$M$330,2,FALSE)</f>
        <v>PIN GROOVED    3/16DIAX1 1/8LG</v>
      </c>
      <c r="C180" s="3" t="str">
        <f>VLOOKUP(A180, '[1]XGV Data'!$C$2:$K$359,3, FALSE)</f>
        <v>3/16"DIA.X1-1/8"LG., LOW CARBON - STEEL, TYPE U.  (ZINC PLATED);</v>
      </c>
      <c r="D180" s="3" t="s">
        <v>176</v>
      </c>
      <c r="E180" s="10" t="s">
        <v>416</v>
      </c>
    </row>
    <row r="181" spans="1:5" x14ac:dyDescent="0.3">
      <c r="A181" s="8" t="s">
        <v>828</v>
      </c>
      <c r="B181" s="5" t="s">
        <v>829</v>
      </c>
      <c r="C181" s="6" t="s">
        <v>830</v>
      </c>
      <c r="D181" s="6" t="s">
        <v>450</v>
      </c>
      <c r="E181" s="7" t="s">
        <v>831</v>
      </c>
    </row>
    <row r="182" spans="1:5" x14ac:dyDescent="0.3">
      <c r="A182" s="3" t="s">
        <v>157</v>
      </c>
      <c r="B182" s="3" t="str">
        <f>VLOOKUP(A182,'[1]XGV Data'!$C$2:$M$330,2,FALSE)</f>
        <v>NIPPLE STD     1/8NPTX2-1/2LG</v>
      </c>
      <c r="C182" s="3" t="str">
        <f>VLOOKUP(A182, '[1]XGV Data'!$C$2:$K$359,3, FALSE)</f>
        <v>NIPPLE, STD. R.H. SCH. 40, WROUGHT STEEL, BLACK, 1/8" NPT X 2-1/2" LG.</v>
      </c>
      <c r="D182" s="3" t="s">
        <v>24</v>
      </c>
      <c r="E182" s="10" t="s">
        <v>158</v>
      </c>
    </row>
    <row r="183" spans="1:5" x14ac:dyDescent="0.3">
      <c r="A183" s="3" t="s">
        <v>159</v>
      </c>
      <c r="B183" s="3" t="str">
        <f>VLOOKUP(A183,'[1]XGV Data'!$C$2:$M$330,2,FALSE)</f>
        <v>NIPPLE STD     1/8NPTX3LG</v>
      </c>
      <c r="C183" s="3" t="str">
        <f>VLOOKUP(A183, '[1]XGV Data'!$C$2:$K$359,3, FALSE)</f>
        <v>NIPPLE STD. R.H. SCH. 40, WROUGHT STEEL, BLACK, 1/8" NPT X 3" LG.</v>
      </c>
      <c r="D183" s="3" t="s">
        <v>24</v>
      </c>
      <c r="E183" s="10" t="s">
        <v>160</v>
      </c>
    </row>
    <row r="184" spans="1:5" x14ac:dyDescent="0.3">
      <c r="A184" s="3" t="s">
        <v>161</v>
      </c>
      <c r="B184" s="3" t="str">
        <f>VLOOKUP(A184,'[1]XGV Data'!$C$2:$M$330,2,FALSE)</f>
        <v>NIPPLE STD     1/8NPTX3-1/2LG</v>
      </c>
      <c r="C184" s="3" t="str">
        <f>VLOOKUP(A184, '[1]XGV Data'!$C$2:$K$359,3, FALSE)</f>
        <v>NIPPLE STD. R.H. SCH. 40, WROUGHT STEEL, BLACK, 1/8" NPT X 3-1/2" LG.</v>
      </c>
      <c r="D184" s="3" t="s">
        <v>24</v>
      </c>
      <c r="E184" s="10" t="s">
        <v>162</v>
      </c>
    </row>
    <row r="185" spans="1:5" x14ac:dyDescent="0.3">
      <c r="A185" s="3" t="s">
        <v>163</v>
      </c>
      <c r="B185" s="3" t="str">
        <f>VLOOKUP(A185,'[1]XGV Data'!$C$2:$M$330,2,FALSE)</f>
        <v>NIPPLE STD     1/4NPTX1-1/2LG</v>
      </c>
      <c r="C185" s="3" t="str">
        <f>VLOOKUP(A185, '[1]XGV Data'!$C$2:$K$359,3, FALSE)</f>
        <v>NIPPLE STD. R.H. SCH. 40, WROUGHT STEEL, BLACK. 1/4"NPT X 1-1/2"LG.</v>
      </c>
      <c r="D185" s="3" t="s">
        <v>24</v>
      </c>
      <c r="E185" s="10" t="s">
        <v>164</v>
      </c>
    </row>
    <row r="186" spans="1:5" x14ac:dyDescent="0.3">
      <c r="A186" s="3" t="s">
        <v>165</v>
      </c>
      <c r="B186" s="3" t="str">
        <f>VLOOKUP(A186,'[1]XGV Data'!$C$2:$M$330,2,FALSE)</f>
        <v>NIPPLE STD     1/4NPTX3-1/2LG</v>
      </c>
      <c r="C186" s="3" t="str">
        <f>VLOOKUP(A186, '[1]XGV Data'!$C$2:$K$359,3, FALSE)</f>
        <v>NIPPLE, STD. R.H. SCH. 40, WROUGHT STEEL, BLACK, 1/4" NPT X 3-1/2" LG.</v>
      </c>
      <c r="D186" s="3" t="s">
        <v>24</v>
      </c>
      <c r="E186" s="10" t="s">
        <v>166</v>
      </c>
    </row>
    <row r="187" spans="1:5" x14ac:dyDescent="0.3">
      <c r="A187" s="3" t="s">
        <v>167</v>
      </c>
      <c r="B187" s="3" t="str">
        <f>VLOOKUP(A187,'[1]XGV Data'!$C$2:$M$330,2,FALSE)</f>
        <v>NIPPLE STD     1/4NPTX4LG</v>
      </c>
      <c r="C187" s="3" t="str">
        <f>VLOOKUP(A187, '[1]XGV Data'!$C$2:$K$359,3, FALSE)</f>
        <v>NIPPLE, STD. R.H. SCH. 40, WROUGHT STEEL, BLACK, 1/4" NPT X 4" LG.</v>
      </c>
      <c r="D187" s="3" t="s">
        <v>24</v>
      </c>
      <c r="E187" s="10" t="s">
        <v>168</v>
      </c>
    </row>
    <row r="188" spans="1:5" x14ac:dyDescent="0.3">
      <c r="A188" s="8" t="s">
        <v>832</v>
      </c>
      <c r="B188" s="5" t="s">
        <v>833</v>
      </c>
      <c r="C188" s="6" t="s">
        <v>834</v>
      </c>
      <c r="D188" s="6" t="s">
        <v>437</v>
      </c>
      <c r="E188" s="7" t="s">
        <v>835</v>
      </c>
    </row>
    <row r="189" spans="1:5" x14ac:dyDescent="0.3">
      <c r="A189" s="8" t="s">
        <v>836</v>
      </c>
      <c r="B189" s="5" t="s">
        <v>837</v>
      </c>
      <c r="C189" s="6" t="s">
        <v>838</v>
      </c>
      <c r="D189" s="6" t="s">
        <v>437</v>
      </c>
      <c r="E189" s="7" t="s">
        <v>839</v>
      </c>
    </row>
    <row r="190" spans="1:5" x14ac:dyDescent="0.3">
      <c r="A190" s="3" t="s">
        <v>169</v>
      </c>
      <c r="B190" s="3" t="str">
        <f>VLOOKUP(A190,'[1]XGV Data'!$C$2:$M$330,2,FALSE)</f>
        <v>NUT HEX LGT    1/2-13UNC-2B</v>
      </c>
      <c r="C190" s="3" t="str">
        <f>VLOOKUP(A190, '[1]XGV Data'!$C$2:$K$359,3, FALSE)</f>
        <v>NUT, HEXAGON; 1/2" - 13 UNC-2B;AMERICAN STANDARD LIGHT SEMI-FINISHED - STEEL;ZINC PLATED;</v>
      </c>
      <c r="D190" s="3" t="s">
        <v>6</v>
      </c>
      <c r="E190" s="10" t="s">
        <v>170</v>
      </c>
    </row>
    <row r="191" spans="1:5" x14ac:dyDescent="0.3">
      <c r="A191" s="3" t="s">
        <v>171</v>
      </c>
      <c r="B191" s="3" t="str">
        <f>VLOOKUP(A191,'[1]XGV Data'!$C$2:$M$330,2,FALSE)</f>
        <v>PLUG SQ HD     2-1/2NPT</v>
      </c>
      <c r="C191" s="3" t="str">
        <f>VLOOKUP(A191, '[1]XGV Data'!$C$2:$K$359,3, FALSE)</f>
        <v>PLUG SQ. HD. CAST IRON BLACK ASA CORED;2-1/2"NPT.</v>
      </c>
      <c r="D191" s="3" t="s">
        <v>6</v>
      </c>
      <c r="E191" s="10" t="s">
        <v>172</v>
      </c>
    </row>
    <row r="192" spans="1:5" x14ac:dyDescent="0.3">
      <c r="A192" s="8" t="s">
        <v>840</v>
      </c>
      <c r="B192" s="5" t="s">
        <v>841</v>
      </c>
      <c r="C192" s="6" t="s">
        <v>842</v>
      </c>
      <c r="D192" s="6" t="s">
        <v>843</v>
      </c>
      <c r="E192" s="7" t="s">
        <v>844</v>
      </c>
    </row>
    <row r="193" spans="1:5" x14ac:dyDescent="0.3">
      <c r="A193" s="3" t="s">
        <v>173</v>
      </c>
      <c r="B193" s="3" t="str">
        <f>VLOOKUP(A193,'[1]XGV Data'!$C$2:$M$330,2,FALSE)</f>
        <v>CAPSCREW,HEX HD1/2-13UNCX2-1/4</v>
      </c>
      <c r="C193" s="3" t="str">
        <f>VLOOKUP(A193, '[1]XGV Data'!$C$2:$K$359,3, FALSE)</f>
        <v>CAPSCREW, HEX. HEAD; 1/2" DIA 13 UNC-2A X 2-1/4";DIMENSIONS TO CONFORM TO ANSI STANDARD B18.2.1;LOW CARBON STEEL, SAE GRADE 2. ZINC PLATED;</v>
      </c>
      <c r="D193" s="3" t="s">
        <v>42</v>
      </c>
      <c r="E193" s="10" t="s">
        <v>174</v>
      </c>
    </row>
    <row r="194" spans="1:5" x14ac:dyDescent="0.3">
      <c r="A194" s="3" t="s">
        <v>175</v>
      </c>
      <c r="B194" s="3" t="str">
        <f>VLOOKUP(A194,'[1]XGV Data'!$C$2:$M$330,2,FALSE)</f>
        <v>SNAP RING</v>
      </c>
      <c r="C194" s="3" t="str">
        <f>VLOOKUP(A194, '[1]XGV Data'!$C$2:$K$359,3, FALSE)</f>
        <v>SNAP RING 1/4" DIA. OF SHAFT-CRESCENT -EXTERNAL-RETAINING RING, STEEL.</v>
      </c>
      <c r="D194" s="3" t="s">
        <v>176</v>
      </c>
      <c r="E194" s="10" t="s">
        <v>177</v>
      </c>
    </row>
    <row r="195" spans="1:5" x14ac:dyDescent="0.3">
      <c r="A195" s="3" t="s">
        <v>178</v>
      </c>
      <c r="B195" s="3" t="str">
        <f>VLOOKUP(A195,'[1]XGV Data'!$C$2:$M$330,2,FALSE)</f>
        <v>CAPSCREW,HEX HD5/16-18NCX1-1/4</v>
      </c>
      <c r="C195" s="3" t="str">
        <f>VLOOKUP(A195, '[1]XGV Data'!$C$2:$K$359,3, FALSE)</f>
        <v>CAPSCREW, HEX. HEAD 5/16" DIA -18 UNC-2A X 1-1/4" LG.STEEL;DIMENSIONS TO CONFORM TO ANSI STANDARD B18.2.1;LOW CARBON STEEL, SAE GRADE 5. ZINC PLATED;</v>
      </c>
      <c r="D195" s="3" t="s">
        <v>42</v>
      </c>
      <c r="E195" s="10" t="s">
        <v>179</v>
      </c>
    </row>
    <row r="196" spans="1:5" x14ac:dyDescent="0.3">
      <c r="A196" s="3" t="s">
        <v>180</v>
      </c>
      <c r="B196" s="3" t="str">
        <f>VLOOKUP(A196,'[1]XGV Data'!$C$2:$M$330,2,FALSE)</f>
        <v>CAPSCREW,HEX HD3/8-16UNCX1-3/4</v>
      </c>
      <c r="C196" s="3" t="str">
        <f>VLOOKUP(A196, '[1]XGV Data'!$C$2:$K$359,3, FALSE)</f>
        <v>CAPSCREW, HEX. HEAD; 3/8" DIA;16 UNC-2A X 1-3/4" LG. STEEL;DIMENSIONS TO CONFORM TO ANSI STANDARD B18.2.1;LOW CARBON STEEL,SAE GRADE 2. ZINC PLATED;</v>
      </c>
      <c r="D196" s="3" t="s">
        <v>42</v>
      </c>
      <c r="E196" s="10" t="s">
        <v>181</v>
      </c>
    </row>
    <row r="197" spans="1:5" x14ac:dyDescent="0.3">
      <c r="A197" s="8" t="s">
        <v>180</v>
      </c>
      <c r="B197" s="5" t="s">
        <v>845</v>
      </c>
      <c r="C197" s="6" t="s">
        <v>846</v>
      </c>
      <c r="D197" s="6" t="s">
        <v>648</v>
      </c>
      <c r="E197" s="7" t="s">
        <v>847</v>
      </c>
    </row>
    <row r="198" spans="1:5" x14ac:dyDescent="0.3">
      <c r="A198" s="3" t="s">
        <v>182</v>
      </c>
      <c r="B198" s="3" t="str">
        <f>VLOOKUP(A198,'[1]XGV Data'!$C$2:$M$330,2,FALSE)</f>
        <v>CAPSCREW,HEX HD 3/8-16UNC X 2</v>
      </c>
      <c r="C198" s="3" t="str">
        <f>VLOOKUP(A198, '[1]XGV Data'!$C$2:$K$359,3, FALSE)</f>
        <v>CAPSCREW, HEX. HEAD; 3/8 DIA;16 UNC-2A X 2" LG. STEEL;DIMENSIONS TO CONFORM TO ANSI STANDARD B18.2.1;LOW CARBON STEEL, SAE GRADE 2. ZINC PLATED;</v>
      </c>
      <c r="D198" s="3" t="s">
        <v>42</v>
      </c>
      <c r="E198" s="10" t="s">
        <v>183</v>
      </c>
    </row>
    <row r="199" spans="1:5" x14ac:dyDescent="0.3">
      <c r="A199" s="3" t="s">
        <v>184</v>
      </c>
      <c r="B199" s="3" t="str">
        <f>VLOOKUP(A199,'[1]XGV Data'!$C$2:$M$330,2,FALSE)</f>
        <v>CAPSCREW HEX HD 1/2-13UNCX3LG</v>
      </c>
      <c r="C199" s="3" t="str">
        <f>VLOOKUP(A199, '[1]XGV Data'!$C$2:$K$359,3, FALSE)</f>
        <v>CAPSCREW,HEX.HEAD; 1/2-13 UNC-2A X 3" LONG. DIMENSIONS TO CONFORM TO ANSI STANDARD B18.2.1;ASTM-A449/SAE-J429 GRADE 5, STEEL. ZINC PLATED;</v>
      </c>
      <c r="D199" s="3" t="s">
        <v>42</v>
      </c>
      <c r="E199" s="10" t="s">
        <v>185</v>
      </c>
    </row>
    <row r="200" spans="1:5" x14ac:dyDescent="0.3">
      <c r="A200" s="3" t="s">
        <v>186</v>
      </c>
      <c r="B200" s="3" t="str">
        <f>VLOOKUP(A200,'[1]XGV Data'!$C$2:$M$330,2,FALSE)</f>
        <v>KEY SHAFT</v>
      </c>
      <c r="C200" s="3" t="str">
        <f>VLOOKUP(A200, '[1]XGV Data'!$C$2:$K$359,3, FALSE)</f>
        <v>KEY: SHAFT 3/16"TK. X 3/4"NOM. SIZE;MILD CARBON-STEEL KEY STOCK, SAE-1035;</v>
      </c>
      <c r="D200" s="3" t="s">
        <v>6</v>
      </c>
      <c r="E200" s="10" t="s">
        <v>187</v>
      </c>
    </row>
    <row r="201" spans="1:5" x14ac:dyDescent="0.3">
      <c r="A201" s="8" t="s">
        <v>186</v>
      </c>
      <c r="B201" s="5" t="s">
        <v>848</v>
      </c>
      <c r="C201" s="6" t="s">
        <v>849</v>
      </c>
      <c r="D201" s="6" t="s">
        <v>699</v>
      </c>
      <c r="E201" s="7" t="s">
        <v>850</v>
      </c>
    </row>
    <row r="202" spans="1:5" x14ac:dyDescent="0.3">
      <c r="A202" s="8" t="s">
        <v>851</v>
      </c>
      <c r="B202" s="5" t="s">
        <v>848</v>
      </c>
      <c r="C202" s="6" t="s">
        <v>852</v>
      </c>
      <c r="D202" s="6" t="s">
        <v>699</v>
      </c>
      <c r="E202" s="7" t="s">
        <v>853</v>
      </c>
    </row>
    <row r="203" spans="1:5" x14ac:dyDescent="0.3">
      <c r="A203" s="8" t="s">
        <v>854</v>
      </c>
      <c r="B203" s="5" t="s">
        <v>848</v>
      </c>
      <c r="C203" s="6" t="s">
        <v>855</v>
      </c>
      <c r="D203" s="6" t="s">
        <v>437</v>
      </c>
      <c r="E203" s="7" t="s">
        <v>856</v>
      </c>
    </row>
    <row r="204" spans="1:5" x14ac:dyDescent="0.3">
      <c r="A204" s="8" t="s">
        <v>857</v>
      </c>
      <c r="B204" s="5" t="s">
        <v>848</v>
      </c>
      <c r="C204" s="6" t="s">
        <v>858</v>
      </c>
      <c r="D204" s="6" t="s">
        <v>699</v>
      </c>
      <c r="E204" s="7" t="s">
        <v>859</v>
      </c>
    </row>
    <row r="205" spans="1:5" x14ac:dyDescent="0.3">
      <c r="A205" s="3" t="s">
        <v>188</v>
      </c>
      <c r="B205" s="3" t="str">
        <f>VLOOKUP(A205,'[1]XGV Data'!$C$2:$M$330,2,FALSE)</f>
        <v>PLUG SQ HD     1/2NPT</v>
      </c>
      <c r="C205" s="3" t="str">
        <f>VLOOKUP(A205, '[1]XGV Data'!$C$2:$K$359,3, FALSE)</f>
        <v>PLUG, PIPE, 1/2" NPT 'ASA', SQ. HD. SOLID; CAST IRON, BLACK;</v>
      </c>
      <c r="D205" s="3" t="s">
        <v>24</v>
      </c>
      <c r="E205" s="10" t="s">
        <v>189</v>
      </c>
    </row>
    <row r="206" spans="1:5" x14ac:dyDescent="0.3">
      <c r="A206" s="3" t="s">
        <v>190</v>
      </c>
      <c r="B206" s="3" t="str">
        <f>VLOOKUP(A206,'[1]XGV Data'!$C$2:$M$330,2,FALSE)</f>
        <v>CAPSCREW,HEX HD 3/8-16NCX1-1/2</v>
      </c>
      <c r="C206" s="3" t="str">
        <f>VLOOKUP(A206, '[1]XGV Data'!$C$2:$K$359,3, FALSE)</f>
        <v>CAPSCREW, HEX. HEAD 3/8" DIA;16 UNC 2A X 1-1/2" LG. STEEL;DIMENIONS TO CONFORM TO ANSI STANDARD B18.2.1;LOW CARBON STEEL, SAE GRADE 2. ZINC PLATED;</v>
      </c>
      <c r="D206" s="3" t="s">
        <v>42</v>
      </c>
      <c r="E206" s="10" t="s">
        <v>191</v>
      </c>
    </row>
    <row r="207" spans="1:5" ht="28.8" x14ac:dyDescent="0.3">
      <c r="A207" s="8" t="s">
        <v>860</v>
      </c>
      <c r="B207" s="5" t="s">
        <v>861</v>
      </c>
      <c r="C207" s="6" t="s">
        <v>862</v>
      </c>
      <c r="D207" s="6" t="s">
        <v>437</v>
      </c>
      <c r="E207" s="7" t="s">
        <v>863</v>
      </c>
    </row>
    <row r="208" spans="1:5" x14ac:dyDescent="0.3">
      <c r="A208" s="3" t="s">
        <v>192</v>
      </c>
      <c r="B208" s="3" t="str">
        <f>VLOOKUP(A208,'[1]XGV Data'!$C$2:$M$330,2,FALSE)</f>
        <v>LOCKWASHER     3/8 BOLT SIZE</v>
      </c>
      <c r="C208" s="3" t="str">
        <f>VLOOKUP(A208, '[1]XGV Data'!$C$2:$K$359,3, FALSE)</f>
        <v>LOCKWASHER SPLIT RING SPRING TYPE, 3/8" BOLT SIZE;MEDIUM #18-8 STAINLESS STEEL.</v>
      </c>
      <c r="D208" s="3" t="s">
        <v>6</v>
      </c>
      <c r="E208" s="10" t="s">
        <v>193</v>
      </c>
    </row>
    <row r="209" spans="1:5" x14ac:dyDescent="0.3">
      <c r="A209" s="3" t="s">
        <v>194</v>
      </c>
      <c r="B209" s="3" t="str">
        <f>VLOOKUP(A209,'[1]XGV Data'!$C$2:$M$330,2,FALSE)</f>
        <v>LOCKWASHER     1/2 BOLT SIZE</v>
      </c>
      <c r="C209" s="3" t="str">
        <f>VLOOKUP(A209, '[1]XGV Data'!$C$2:$K$359,3, FALSE)</f>
        <v>LOCKWASHER SPLIT RING SPRING TYPE, 1/2" BOLT SIZE, MEDIUM #18-8 STAINLESS STEEL.</v>
      </c>
      <c r="D209" s="3" t="s">
        <v>6</v>
      </c>
      <c r="E209" s="10" t="s">
        <v>195</v>
      </c>
    </row>
    <row r="210" spans="1:5" x14ac:dyDescent="0.3">
      <c r="A210" s="3" t="s">
        <v>196</v>
      </c>
      <c r="B210" s="3" t="str">
        <f>VLOOKUP(A210,'[1]XGV Data'!$C$2:$M$330,2,FALSE)</f>
        <v>LOCKWASHER     5/8 BOLT SIZE</v>
      </c>
      <c r="C210" s="3" t="str">
        <f>VLOOKUP(A210, '[1]XGV Data'!$C$2:$K$359,3, FALSE)</f>
        <v>LOCKWASHER SPLIT RING SPRING TYPE, 5/8" BOLT SIZE, MEDIUM, #18-8 STAINLESS STEEL.</v>
      </c>
      <c r="D210" s="3" t="s">
        <v>6</v>
      </c>
      <c r="E210" s="10" t="s">
        <v>197</v>
      </c>
    </row>
    <row r="211" spans="1:5" x14ac:dyDescent="0.3">
      <c r="A211" s="8" t="s">
        <v>865</v>
      </c>
      <c r="B211" s="5" t="s">
        <v>866</v>
      </c>
      <c r="C211" s="6" t="s">
        <v>867</v>
      </c>
      <c r="D211" s="6" t="s">
        <v>699</v>
      </c>
      <c r="E211" s="7" t="s">
        <v>868</v>
      </c>
    </row>
    <row r="212" spans="1:5" x14ac:dyDescent="0.3">
      <c r="A212" s="3" t="s">
        <v>198</v>
      </c>
      <c r="B212" s="3" t="str">
        <f>VLOOKUP(A212,'[1]XGV Data'!$C$2:$M$330,2,FALSE)</f>
        <v>CONN MALE FLARE 3/8OD X 1/8MPT</v>
      </c>
      <c r="C212" s="3" t="str">
        <f>VLOOKUP(A212, '[1]XGV Data'!$C$2:$K$359,3, FALSE)</f>
        <v>CONNECTOR; MALE:(COMP'R.);3/8" O.D. OF TUBE X 1/8" MPT; EXTRUDED BRASS ROD;</v>
      </c>
      <c r="D212" s="3" t="s">
        <v>199</v>
      </c>
      <c r="E212" s="10" t="s">
        <v>200</v>
      </c>
    </row>
    <row r="213" spans="1:5" x14ac:dyDescent="0.3">
      <c r="A213" s="3" t="s">
        <v>201</v>
      </c>
      <c r="B213" s="3" t="str">
        <f>VLOOKUP(A213,'[1]XGV Data'!$C$2:$M$330,2,FALSE)</f>
        <v>ELBOW 90       1/8NPT</v>
      </c>
      <c r="C213" s="3" t="str">
        <f>VLOOKUP(A213, '[1]XGV Data'!$C$2:$K$359,3, FALSE)</f>
        <v>ELBOW 90 DEGREE 1/8" NPT, 150# MALLEABLE IRON, BLACK.</v>
      </c>
      <c r="D213" s="3" t="s">
        <v>6</v>
      </c>
      <c r="E213" s="10" t="s">
        <v>202</v>
      </c>
    </row>
    <row r="214" spans="1:5" x14ac:dyDescent="0.3">
      <c r="A214" s="3" t="s">
        <v>203</v>
      </c>
      <c r="B214" s="3" t="str">
        <f>VLOOKUP(A214,'[1]XGV Data'!$C$2:$M$330,2,FALSE)</f>
        <v>ELBOW, 90DEGREE STREET 1/8"NPT</v>
      </c>
      <c r="C214" s="3" t="str">
        <f>VLOOKUP(A214, '[1]XGV Data'!$C$2:$K$359,3, FALSE)</f>
        <v>150# MALLEABLE IRON, BLACK. 90DEGREE STREET, 1/8"NPT.</v>
      </c>
      <c r="D214" s="3" t="s">
        <v>6</v>
      </c>
      <c r="E214" s="10" t="s">
        <v>204</v>
      </c>
    </row>
    <row r="215" spans="1:5" x14ac:dyDescent="0.3">
      <c r="A215" s="8" t="s">
        <v>869</v>
      </c>
      <c r="B215" s="5" t="s">
        <v>870</v>
      </c>
      <c r="C215" s="6" t="s">
        <v>871</v>
      </c>
      <c r="D215" s="6" t="s">
        <v>492</v>
      </c>
      <c r="E215" s="7" t="s">
        <v>872</v>
      </c>
    </row>
    <row r="216" spans="1:5" x14ac:dyDescent="0.3">
      <c r="A216" s="3" t="s">
        <v>205</v>
      </c>
      <c r="B216" s="3" t="str">
        <f>VLOOKUP(A216,'[1]XGV Data'!$C$2:$M$330,2,FALSE)</f>
        <v>PLUG SQ HD     1/2NPT</v>
      </c>
      <c r="C216" s="3" t="str">
        <f>VLOOKUP(A216, '[1]XGV Data'!$C$2:$K$359,3, FALSE)</f>
        <v>PLUG; PIPE, SQ. HEAD, 1/2" NPT;STEEL (GALVANIZED);</v>
      </c>
      <c r="D216" s="3" t="s">
        <v>24</v>
      </c>
      <c r="E216" s="10" t="s">
        <v>206</v>
      </c>
    </row>
    <row r="217" spans="1:5" x14ac:dyDescent="0.3">
      <c r="A217" s="3" t="s">
        <v>207</v>
      </c>
      <c r="B217" s="3" t="str">
        <f>VLOOKUP(A217,'[1]XGV Data'!$C$2:$M$330,2,FALSE)</f>
        <v>PLUG SQ HD     1NPT</v>
      </c>
      <c r="C217" s="3" t="str">
        <f>VLOOKUP(A217, '[1]XGV Data'!$C$2:$K$359,3, FALSE)</f>
        <v>PLUG; PIPE, SQ. HD. CORED; 1" NPT CAST IRON, GALVANIZED.</v>
      </c>
      <c r="D217" s="3" t="s">
        <v>24</v>
      </c>
      <c r="E217" s="10" t="s">
        <v>208</v>
      </c>
    </row>
    <row r="218" spans="1:5" x14ac:dyDescent="0.3">
      <c r="A218" s="3" t="s">
        <v>209</v>
      </c>
      <c r="B218" s="3" t="str">
        <f>VLOOKUP(A218,'[1]XGV Data'!$C$2:$M$330,2,FALSE)</f>
        <v>NUT HX JAM     1/2-13UNC-2B</v>
      </c>
      <c r="C218" s="3" t="str">
        <f>VLOOKUP(A218, '[1]XGV Data'!$C$2:$K$359,3, FALSE)</f>
        <v>1/2" DIA. 13UNC-2B BRASS; COMM. QUAL.</v>
      </c>
      <c r="D218" s="3" t="s">
        <v>6</v>
      </c>
      <c r="E218" s="10" t="s">
        <v>210</v>
      </c>
    </row>
    <row r="219" spans="1:5" x14ac:dyDescent="0.3">
      <c r="A219" s="3" t="s">
        <v>211</v>
      </c>
      <c r="B219" s="3" t="str">
        <f>VLOOKUP(A219,'[1]XGV Data'!$C$2:$M$330,2,FALSE)</f>
        <v>NUT HEX JAM    5/8-18UNC-2B</v>
      </c>
      <c r="C219" s="3" t="str">
        <f>VLOOKUP(A219, '[1]XGV Data'!$C$2:$K$359,3, FALSE)</f>
        <v>5/8-18UNF-2B-BRASS.</v>
      </c>
      <c r="D219" s="3" t="s">
        <v>6</v>
      </c>
      <c r="E219" s="10" t="s">
        <v>212</v>
      </c>
    </row>
    <row r="220" spans="1:5" x14ac:dyDescent="0.3">
      <c r="A220" s="3" t="s">
        <v>213</v>
      </c>
      <c r="B220" s="3" t="str">
        <f>VLOOKUP(A220,'[1]XGV Data'!$C$2:$M$330,2,FALSE)</f>
        <v>NUT HEX JAM    3/4-10UNC-2B</v>
      </c>
      <c r="C220" s="3" t="str">
        <f>VLOOKUP(A220, '[1]XGV Data'!$C$2:$K$359,3, FALSE)</f>
        <v>3/4"-10UNC-2B-BRASS;</v>
      </c>
      <c r="D220" s="3" t="s">
        <v>6</v>
      </c>
      <c r="E220" s="10" t="s">
        <v>214</v>
      </c>
    </row>
    <row r="221" spans="1:5" x14ac:dyDescent="0.3">
      <c r="A221" s="3" t="s">
        <v>215</v>
      </c>
      <c r="B221" s="3" t="str">
        <f>VLOOKUP(A221,'[1]XGV Data'!$C$2:$M$330,2,FALSE)</f>
        <v>NUT HEX JAM    1 IN-8UNC-2B</v>
      </c>
      <c r="C221" s="3" t="str">
        <f>VLOOKUP(A221, '[1]XGV Data'!$C$2:$K$359,3, FALSE)</f>
        <v>1"8UNC-2B-BRASS.</v>
      </c>
      <c r="D221" s="3" t="s">
        <v>6</v>
      </c>
      <c r="E221" s="10" t="s">
        <v>216</v>
      </c>
    </row>
    <row r="222" spans="1:5" x14ac:dyDescent="0.3">
      <c r="A222" s="3" t="s">
        <v>217</v>
      </c>
      <c r="B222" s="3" t="str">
        <f>VLOOKUP(A222,'[1]XGV Data'!$C$2:$M$330,2,FALSE)</f>
        <v>WASHER STD     FOR 3/8 SCREW</v>
      </c>
      <c r="C222" s="3" t="str">
        <f>VLOOKUP(A222, '[1]XGV Data'!$C$2:$K$359,3, FALSE)</f>
        <v>WASHER: SAE STD (FOR 3/8" SCREW);13/32" I.D. X 13/16" O.D. X 1/16" THK.-#430 STAINLESS STEEL.</v>
      </c>
      <c r="D222" s="3" t="s">
        <v>24</v>
      </c>
      <c r="E222" s="10" t="s">
        <v>218</v>
      </c>
    </row>
    <row r="223" spans="1:5" x14ac:dyDescent="0.3">
      <c r="A223" s="3" t="s">
        <v>219</v>
      </c>
      <c r="B223" s="3" t="str">
        <f>VLOOKUP(A223,'[1]XGV Data'!$C$2:$M$330,2,FALSE)</f>
        <v>NUT HEX STD    3/8-16UNC-2B</v>
      </c>
      <c r="C223" s="3" t="str">
        <f>VLOOKUP(A223, '[1]XGV Data'!$C$2:$K$359,3, FALSE)</f>
        <v>AMERICAN STD. STAINLESS;STEEL-ASTM A276, TYPE 302,TYPE 304, OR TYPE 305.</v>
      </c>
      <c r="D223" s="3" t="s">
        <v>42</v>
      </c>
      <c r="E223" s="10" t="s">
        <v>220</v>
      </c>
    </row>
    <row r="224" spans="1:5" x14ac:dyDescent="0.3">
      <c r="A224" s="3" t="s">
        <v>221</v>
      </c>
      <c r="B224" s="3" t="str">
        <f>VLOOKUP(A224,'[1]XGV Data'!$C$2:$M$330,2,FALSE)</f>
        <v>THREAD FORM SCREW 5/16X3/4 LG</v>
      </c>
      <c r="C224" s="3" t="str">
        <f>VLOOKUP(A224, '[1]XGV Data'!$C$2:$K$359,3, FALSE)</f>
        <v>CAPSCREW, HEX WASHER HD. 5/16" DIA.-18 X 3/4" LG. THREAD FORMING SCREW;PER-ANSI B18.6.4;STEEL, ZINC PLATED;</v>
      </c>
      <c r="D224" s="3" t="s">
        <v>24</v>
      </c>
      <c r="E224" s="10" t="s">
        <v>222</v>
      </c>
    </row>
    <row r="225" spans="1:5" x14ac:dyDescent="0.3">
      <c r="A225" s="3" t="s">
        <v>223</v>
      </c>
      <c r="B225" s="3" t="str">
        <f>VLOOKUP(A225,'[1]XGV Data'!$C$2:$M$330,2,FALSE)</f>
        <v>CAPSCREW HEX HD 3/8-16UNCX1"LG</v>
      </c>
      <c r="C225" s="3" t="str">
        <f>VLOOKUP(A225, '[1]XGV Data'!$C$2:$K$359,3, FALSE)</f>
        <v>3/8" DIA. - 16UNC-2A X 1" LG. TYPE 304 STAINLESS STEEL. DIMENSIONS TO CONFORM TO ANSI STANDARD B18.2.1.</v>
      </c>
      <c r="D225" s="3" t="s">
        <v>6</v>
      </c>
      <c r="E225" s="10" t="s">
        <v>224</v>
      </c>
    </row>
    <row r="226" spans="1:5" x14ac:dyDescent="0.3">
      <c r="A226" s="3" t="s">
        <v>225</v>
      </c>
      <c r="B226" s="3" t="str">
        <f>VLOOKUP(A226,'[1]XGV Data'!$C$2:$M$330,2,FALSE)</f>
        <v>CAPSCREW, HEX HD5/8-11NCX2-1/4</v>
      </c>
      <c r="C226" s="3" t="str">
        <f>VLOOKUP(A226, '[1]XGV Data'!$C$2:$K$359,3, FALSE)</f>
        <v>5/8"DIA.-11UNC-2AX2-1/4"LG. ASTM-A449/SAE-J429 GRADE 5, STEEL.</v>
      </c>
      <c r="D226" s="3" t="s">
        <v>42</v>
      </c>
      <c r="E226" s="10" t="s">
        <v>226</v>
      </c>
    </row>
    <row r="227" spans="1:5" x14ac:dyDescent="0.3">
      <c r="A227" s="8" t="s">
        <v>227</v>
      </c>
      <c r="B227" s="5" t="s">
        <v>873</v>
      </c>
      <c r="C227" s="6" t="s">
        <v>874</v>
      </c>
      <c r="D227" s="6" t="s">
        <v>699</v>
      </c>
      <c r="E227" s="7" t="s">
        <v>875</v>
      </c>
    </row>
    <row r="228" spans="1:5" x14ac:dyDescent="0.3">
      <c r="A228" s="3" t="s">
        <v>228</v>
      </c>
      <c r="B228" s="3" t="str">
        <f>VLOOKUP(A228,'[1]XGV Data'!$C$2:$M$330,2,FALSE)</f>
        <v>CAPSCREW HEX HD5/8-11UNX2-3/4</v>
      </c>
      <c r="C228" s="3" t="str">
        <f>VLOOKUP(A228, '[1]XGV Data'!$C$2:$K$359,3, FALSE)</f>
        <v>CAPSCREW HEX. HEAD 5/8"-11UNC-2A X 2-3/4"LG. STEEL SA-449, TYPE 1 AND 2 AT MANUFACTURER'S OPTION. CCERTIFICATION REQUIRED!;</v>
      </c>
      <c r="D228" s="3" t="s">
        <v>42</v>
      </c>
      <c r="E228" s="10" t="s">
        <v>229</v>
      </c>
    </row>
    <row r="229" spans="1:5" x14ac:dyDescent="0.3">
      <c r="A229" s="3" t="s">
        <v>230</v>
      </c>
      <c r="B229" s="3" t="str">
        <f>VLOOKUP(A229,'[1]XGV Data'!$C$2:$M$330,2,FALSE)</f>
        <v>CAPSCREW HEX HD 3/8-16UNC X 2</v>
      </c>
      <c r="C229" s="3" t="str">
        <f>VLOOKUP(A229, '[1]XGV Data'!$C$2:$K$359,3, FALSE)</f>
        <v>3/8" DIA.- 16 UNC-2A X 2" LG.-#430 STAINLESS STEEL;</v>
      </c>
      <c r="D229" s="3" t="s">
        <v>42</v>
      </c>
      <c r="E229" s="10" t="s">
        <v>231</v>
      </c>
    </row>
    <row r="230" spans="1:5" x14ac:dyDescent="0.3">
      <c r="A230" s="3" t="s">
        <v>232</v>
      </c>
      <c r="B230" s="3" t="str">
        <f>VLOOKUP(A230,'[1]XGV Data'!$C$2:$M$330,2,FALSE)</f>
        <v>CAPSCREW HEX HD 7/16-14UNC X 2</v>
      </c>
      <c r="C230" s="3" t="str">
        <f>VLOOKUP(A230, '[1]XGV Data'!$C$2:$K$359,3, FALSE)</f>
        <v>7/16" DIA.-14UNC-2A X2"LG. LOW CARBON STEEL, SAE GRADE 2. ZINC PLATED;DIMENSIONS TO CONFORM TO ANSI STD. B18.2.1.</v>
      </c>
      <c r="D230" s="3" t="s">
        <v>42</v>
      </c>
      <c r="E230" s="10" t="s">
        <v>233</v>
      </c>
    </row>
    <row r="231" spans="1:5" x14ac:dyDescent="0.3">
      <c r="A231" s="3" t="s">
        <v>234</v>
      </c>
      <c r="B231" s="3" t="str">
        <f>VLOOKUP(A231,'[1]XGV Data'!$C$2:$M$330,2,FALSE)</f>
        <v>TAP SCR PAN HD #8-32UNCX3/16LG</v>
      </c>
      <c r="C231" s="3" t="str">
        <f>VLOOKUP(A231, '[1]XGV Data'!$C$2:$K$359,3, FALSE)</f>
        <v>SELF TAPPING (THREAD CUTTING), PAN HEAD, PHILLIPS. #8 - 32UNC X 3/16" LG. STEEL, (ZINC PLATED),TYPE "D".</v>
      </c>
      <c r="D231" s="3" t="s">
        <v>24</v>
      </c>
      <c r="E231" s="10" t="s">
        <v>235</v>
      </c>
    </row>
    <row r="232" spans="1:5" x14ac:dyDescent="0.3">
      <c r="A232" s="3" t="s">
        <v>236</v>
      </c>
      <c r="B232" s="3" t="str">
        <f>VLOOKUP(A232,'[1]XGV Data'!$C$2:$M$330,2,FALSE)</f>
        <v>CAPSCREW HEX HD 7/16-14UNCX3</v>
      </c>
      <c r="C232" s="3" t="str">
        <f>VLOOKUP(A232, '[1]XGV Data'!$C$2:$K$359,3, FALSE)</f>
        <v>CAPSCREW HEX. HD. 7/16" DIA. 14UNC-2A X 3"LG. DIMENSIONS TO CONFORM TO ANSI STANDARD B18.2.1;LOW CARBON STEEL, SAE GGRADE 2. ZINC PLATED;</v>
      </c>
      <c r="D232" s="3" t="s">
        <v>42</v>
      </c>
      <c r="E232" s="10" t="s">
        <v>237</v>
      </c>
    </row>
    <row r="233" spans="1:5" x14ac:dyDescent="0.3">
      <c r="A233" s="3" t="s">
        <v>238</v>
      </c>
      <c r="B233" s="3" t="str">
        <f>VLOOKUP(A233,'[1]XGV Data'!$C$2:$M$330,2,FALSE)</f>
        <v>STUD BOLT 3/8-16X3 ENDRIES</v>
      </c>
      <c r="C233" s="3" t="str">
        <f>VLOOKUP(A233, '[1]XGV Data'!$C$2:$K$359,3, FALSE)</f>
        <v>STUD BOLT 3/8" DIA. 16UNC-2A X 3"LG. #303;STAINLESS STEEL (WITH CONTINUOUS THREADS).</v>
      </c>
      <c r="D233" s="3" t="s">
        <v>42</v>
      </c>
      <c r="E233" s="10" t="s">
        <v>239</v>
      </c>
    </row>
    <row r="234" spans="1:5" x14ac:dyDescent="0.3">
      <c r="A234" s="3" t="s">
        <v>240</v>
      </c>
      <c r="B234" s="3" t="str">
        <f>VLOOKUP(A234,'[1]XGV Data'!$C$2:$M$330,2,FALSE)</f>
        <v>CAPSCREW HEX HD5/16-18NCX3/4</v>
      </c>
      <c r="C234" s="3" t="str">
        <f>VLOOKUP(A234, '[1]XGV Data'!$C$2:$K$359,3, FALSE)</f>
        <v>CAPSCREW; HEX. HD. 5/16" DIA - 18 UNC-2A X 3/4";DIMENSIONS TO CONFORM TO ANSI STANDARD B18.2.1;LOW CARBON STEEL, SAE GRADE 2. ZINC PLATED.</v>
      </c>
      <c r="D234" s="3" t="s">
        <v>42</v>
      </c>
      <c r="E234" s="10" t="s">
        <v>241</v>
      </c>
    </row>
    <row r="235" spans="1:5" x14ac:dyDescent="0.3">
      <c r="A235" s="8" t="s">
        <v>876</v>
      </c>
      <c r="B235" s="5" t="s">
        <v>877</v>
      </c>
      <c r="C235" s="6" t="s">
        <v>878</v>
      </c>
      <c r="D235" s="6" t="s">
        <v>450</v>
      </c>
      <c r="E235" s="7" t="s">
        <v>879</v>
      </c>
    </row>
    <row r="236" spans="1:5" x14ac:dyDescent="0.3">
      <c r="A236" s="3" t="s">
        <v>242</v>
      </c>
      <c r="B236" s="3" t="str">
        <f>VLOOKUP(A236,'[1]XGV Data'!$C$2:$M$330,2,FALSE)</f>
        <v>RING,RETAINER</v>
      </c>
      <c r="C236" s="3" t="str">
        <f>VLOOKUP(A236, '[1]XGV Data'!$C$2:$K$359,3, FALSE)</f>
        <v>RETAINER RING: STEEL, CORROSION-RETARDANT PHOSPHATE COATING. FREE DIA. .207", .027"THK., .527" O.D., EXTERNAL TYPE.</v>
      </c>
      <c r="D236" s="3" t="s">
        <v>243</v>
      </c>
      <c r="E236" s="10" t="s">
        <v>244</v>
      </c>
    </row>
    <row r="237" spans="1:5" x14ac:dyDescent="0.3">
      <c r="A237" s="3" t="s">
        <v>245</v>
      </c>
      <c r="B237" s="3" t="str">
        <f>VLOOKUP(A237,'[1]XGV Data'!$C$2:$M$330,2,FALSE)</f>
        <v>LOCKWASHER BRG W-14</v>
      </c>
      <c r="C237" s="3" t="str">
        <f>VLOOKUP(A237, '[1]XGV Data'!$C$2:$K$359,3, FALSE)</f>
        <v>LOCKWASHER, BRG. W-14 (FOR BALL BRG.); EXTERNAL;TOOTH; BEARING SIZE 14, STEEL;</v>
      </c>
      <c r="D237" s="3" t="s">
        <v>98</v>
      </c>
      <c r="E237" s="10" t="s">
        <v>246</v>
      </c>
    </row>
    <row r="238" spans="1:5" x14ac:dyDescent="0.3">
      <c r="A238" s="8" t="s">
        <v>247</v>
      </c>
      <c r="B238" s="5" t="s">
        <v>880</v>
      </c>
      <c r="C238" s="6" t="s">
        <v>881</v>
      </c>
      <c r="D238" s="6" t="s">
        <v>699</v>
      </c>
      <c r="E238" s="7" t="s">
        <v>882</v>
      </c>
    </row>
    <row r="239" spans="1:5" x14ac:dyDescent="0.3">
      <c r="A239" s="8" t="s">
        <v>248</v>
      </c>
      <c r="B239" s="5" t="s">
        <v>883</v>
      </c>
      <c r="C239" s="6" t="s">
        <v>884</v>
      </c>
      <c r="D239" s="6" t="s">
        <v>699</v>
      </c>
      <c r="E239" s="7" t="s">
        <v>885</v>
      </c>
    </row>
    <row r="240" spans="1:5" x14ac:dyDescent="0.3">
      <c r="A240" s="3" t="s">
        <v>249</v>
      </c>
      <c r="B240" s="3" t="str">
        <f>VLOOKUP(A240,'[1]XGV Data'!$C$2:$M$330,2,FALSE)</f>
        <v>LOCKWASHER BRG W-12</v>
      </c>
      <c r="C240" s="3" t="str">
        <f>VLOOKUP(A240, '[1]XGV Data'!$C$2:$K$359,3, FALSE)</f>
        <v>LOCKWASHER, BRG. W-12 FOR BALL &amp; ROLLER BEARINGS; 1/8" X 5/16" KEYWAY REQ'D .063" TK. EXTERNAL TOOTH;BEARING SIZE 12, STEEL;</v>
      </c>
      <c r="D240" s="3" t="s">
        <v>98</v>
      </c>
      <c r="E240" s="10" t="s">
        <v>250</v>
      </c>
    </row>
    <row r="241" spans="1:5" x14ac:dyDescent="0.3">
      <c r="A241" s="3" t="s">
        <v>251</v>
      </c>
      <c r="B241" s="3" t="str">
        <f>VLOOKUP(A241,'[1]XGV Data'!$C$2:$M$330,2,FALSE)</f>
        <v>RETAINER BRG</v>
      </c>
      <c r="C241" s="3" t="str">
        <f>VLOOKUP(A241, '[1]XGV Data'!$C$2:$K$359,3, FALSE)</f>
        <v>RING, BEARING RETAINER CARBON SPRING STEEL, DRY;COLORLESS CORROSION INHIBITED FINISH,SELF-LOCKING;EXTERNAL SERIES.(FOR 2.375" SHAFT DIA.);</v>
      </c>
      <c r="D241" s="3" t="s">
        <v>252</v>
      </c>
      <c r="E241" s="10" t="s">
        <v>425</v>
      </c>
    </row>
    <row r="242" spans="1:5" x14ac:dyDescent="0.3">
      <c r="A242" s="3" t="s">
        <v>253</v>
      </c>
      <c r="B242" s="3" t="str">
        <f>VLOOKUP(A242,'[1]XGV Data'!$C$2:$M$330,2,FALSE)</f>
        <v>LOCKNUT,BRG    N-13</v>
      </c>
      <c r="C242" s="3" t="str">
        <f>VLOOKUP(A242, '[1]XGV Data'!$C$2:$K$359,3, FALSE)</f>
        <v>LOCKNUT, BEARING; N-13 FOR BALL &amp; ROLLER;BEARINGS 2.548" O.D. OF THREADS-18 USF THREADS;PER INCH, BEARING SIZE 13, STEEL.</v>
      </c>
      <c r="D242" s="3" t="s">
        <v>98</v>
      </c>
      <c r="E242" s="10" t="s">
        <v>254</v>
      </c>
    </row>
    <row r="243" spans="1:5" x14ac:dyDescent="0.3">
      <c r="A243" s="3" t="s">
        <v>255</v>
      </c>
      <c r="B243" s="3" t="str">
        <f>VLOOKUP(A243,'[1]XGV Data'!$C$2:$M$330,2,FALSE)</f>
        <v>LOCKWASHER,BRG W-13</v>
      </c>
      <c r="C243" s="3" t="str">
        <f>VLOOKUP(A243, '[1]XGV Data'!$C$2:$K$359,3, FALSE)</f>
        <v>LOCKWASHER, BEARING; W-13 FOR BALL &amp; ROLLER;BEARINGS, 5/16" X 1/8" KEYWAY REQ'D. .062" THK., EXTERNAL TOOTH, BEARING SIZE 13, STEEL.</v>
      </c>
      <c r="D243" s="3" t="s">
        <v>98</v>
      </c>
      <c r="E243" s="10" t="s">
        <v>256</v>
      </c>
    </row>
    <row r="244" spans="1:5" x14ac:dyDescent="0.3">
      <c r="A244" s="3" t="s">
        <v>257</v>
      </c>
      <c r="B244" s="3" t="str">
        <f>VLOOKUP(A244,'[1]XGV Data'!$C$2:$M$330,2,FALSE)</f>
        <v>WASHER         2.200ID</v>
      </c>
      <c r="C244" s="3" t="str">
        <f>VLOOKUP(A244, '[1]XGV Data'!$C$2:$K$359,3, FALSE)</f>
        <v>WASHER; WAVE SPRING; 2.816" O.D. X 2.200" I.D. X .030" THK.-SPRING STEEL;</v>
      </c>
      <c r="D244" s="3" t="s">
        <v>24</v>
      </c>
      <c r="E244" s="10" t="s">
        <v>258</v>
      </c>
    </row>
    <row r="245" spans="1:5" x14ac:dyDescent="0.3">
      <c r="A245" s="3" t="s">
        <v>259</v>
      </c>
      <c r="B245" s="3" t="str">
        <f>VLOOKUP(A245,'[1]XGV Data'!$C$2:$M$330,2,FALSE)</f>
        <v>WASHER         3.047ID</v>
      </c>
      <c r="C245" s="3" t="str">
        <f>VLOOKUP(A245, '[1]XGV Data'!$C$2:$K$359,3, FALSE)</f>
        <v>WASHER, WAVE SPRING; 3.917" O.D. X 3.047" I.D. X;.042" THK. SPRING STEEL.</v>
      </c>
      <c r="D245" s="3" t="s">
        <v>176</v>
      </c>
      <c r="E245" s="10" t="s">
        <v>422</v>
      </c>
    </row>
    <row r="246" spans="1:5" x14ac:dyDescent="0.3">
      <c r="A246" s="8" t="s">
        <v>886</v>
      </c>
      <c r="B246" s="5" t="s">
        <v>887</v>
      </c>
      <c r="C246" s="6" t="s">
        <v>888</v>
      </c>
      <c r="D246" s="6" t="s">
        <v>469</v>
      </c>
      <c r="E246" s="7" t="s">
        <v>889</v>
      </c>
    </row>
    <row r="247" spans="1:5" x14ac:dyDescent="0.3">
      <c r="A247" s="8" t="s">
        <v>890</v>
      </c>
      <c r="B247" s="5" t="s">
        <v>891</v>
      </c>
      <c r="C247" s="6" t="s">
        <v>892</v>
      </c>
      <c r="D247" s="6" t="s">
        <v>699</v>
      </c>
      <c r="E247" s="7" t="s">
        <v>893</v>
      </c>
    </row>
    <row r="248" spans="1:5" x14ac:dyDescent="0.3">
      <c r="A248" s="8" t="s">
        <v>894</v>
      </c>
      <c r="B248" s="5" t="s">
        <v>895</v>
      </c>
      <c r="C248" s="6" t="s">
        <v>896</v>
      </c>
      <c r="D248" s="6" t="s">
        <v>699</v>
      </c>
      <c r="E248" s="7" t="s">
        <v>897</v>
      </c>
    </row>
    <row r="249" spans="1:5" x14ac:dyDescent="0.3">
      <c r="A249" s="8" t="s">
        <v>898</v>
      </c>
      <c r="B249" s="5" t="s">
        <v>899</v>
      </c>
      <c r="C249" s="6" t="s">
        <v>900</v>
      </c>
      <c r="D249" s="6" t="s">
        <v>437</v>
      </c>
      <c r="E249" s="7" t="s">
        <v>901</v>
      </c>
    </row>
    <row r="250" spans="1:5" x14ac:dyDescent="0.3">
      <c r="A250" s="8" t="s">
        <v>902</v>
      </c>
      <c r="B250" s="5" t="s">
        <v>903</v>
      </c>
      <c r="C250" s="6" t="s">
        <v>904</v>
      </c>
      <c r="D250" s="6" t="s">
        <v>699</v>
      </c>
      <c r="E250" s="7" t="s">
        <v>905</v>
      </c>
    </row>
    <row r="251" spans="1:5" x14ac:dyDescent="0.3">
      <c r="A251" s="8" t="s">
        <v>906</v>
      </c>
      <c r="B251" s="5" t="s">
        <v>907</v>
      </c>
      <c r="C251" s="6" t="s">
        <v>908</v>
      </c>
      <c r="D251" s="6" t="s">
        <v>909</v>
      </c>
      <c r="E251" s="7" t="s">
        <v>910</v>
      </c>
    </row>
    <row r="252" spans="1:5" x14ac:dyDescent="0.3">
      <c r="A252" s="8" t="s">
        <v>911</v>
      </c>
      <c r="B252" s="5" t="s">
        <v>912</v>
      </c>
      <c r="C252" s="6" t="s">
        <v>908</v>
      </c>
      <c r="D252" s="6" t="s">
        <v>909</v>
      </c>
      <c r="E252" s="7" t="s">
        <v>913</v>
      </c>
    </row>
    <row r="253" spans="1:5" x14ac:dyDescent="0.3">
      <c r="A253" s="8" t="s">
        <v>914</v>
      </c>
      <c r="B253" s="5" t="s">
        <v>915</v>
      </c>
      <c r="C253" s="6" t="s">
        <v>908</v>
      </c>
      <c r="D253" s="6" t="s">
        <v>909</v>
      </c>
      <c r="E253" s="7" t="s">
        <v>916</v>
      </c>
    </row>
    <row r="254" spans="1:5" x14ac:dyDescent="0.3">
      <c r="A254" s="8" t="s">
        <v>917</v>
      </c>
      <c r="B254" s="5" t="s">
        <v>918</v>
      </c>
      <c r="C254" s="6" t="s">
        <v>908</v>
      </c>
      <c r="D254" s="6" t="s">
        <v>909</v>
      </c>
      <c r="E254" s="7" t="s">
        <v>919</v>
      </c>
    </row>
    <row r="255" spans="1:5" x14ac:dyDescent="0.3">
      <c r="A255" s="8" t="s">
        <v>920</v>
      </c>
      <c r="B255" s="5" t="s">
        <v>921</v>
      </c>
      <c r="C255" s="6" t="s">
        <v>908</v>
      </c>
      <c r="D255" s="6" t="s">
        <v>909</v>
      </c>
      <c r="E255" s="7" t="s">
        <v>922</v>
      </c>
    </row>
    <row r="256" spans="1:5" x14ac:dyDescent="0.3">
      <c r="A256" s="8" t="s">
        <v>923</v>
      </c>
      <c r="B256" s="5" t="s">
        <v>924</v>
      </c>
      <c r="C256" s="6" t="s">
        <v>908</v>
      </c>
      <c r="D256" s="6" t="s">
        <v>909</v>
      </c>
      <c r="E256" s="7" t="s">
        <v>925</v>
      </c>
    </row>
    <row r="257" spans="1:5" x14ac:dyDescent="0.3">
      <c r="A257" s="8" t="s">
        <v>926</v>
      </c>
      <c r="B257" s="5" t="s">
        <v>927</v>
      </c>
      <c r="C257" s="6" t="s">
        <v>908</v>
      </c>
      <c r="D257" s="6" t="s">
        <v>909</v>
      </c>
      <c r="E257" s="7" t="s">
        <v>928</v>
      </c>
    </row>
    <row r="258" spans="1:5" ht="28.8" x14ac:dyDescent="0.3">
      <c r="A258" s="8" t="s">
        <v>929</v>
      </c>
      <c r="B258" s="5" t="s">
        <v>930</v>
      </c>
      <c r="C258" s="6" t="s">
        <v>931</v>
      </c>
      <c r="D258" s="6" t="s">
        <v>909</v>
      </c>
      <c r="E258" s="11" t="s">
        <v>932</v>
      </c>
    </row>
    <row r="259" spans="1:5" x14ac:dyDescent="0.3">
      <c r="A259" s="3" t="s">
        <v>260</v>
      </c>
      <c r="B259" s="3" t="str">
        <f>VLOOKUP(A259,'[1]XGV Data'!$C$2:$M$330,2,FALSE)</f>
        <v>O-RING SIZE 035</v>
      </c>
      <c r="C259" s="3" t="str">
        <f>VLOOKUP(A259, '[1]XGV Data'!$C$2:$K$359,3, FALSE)</f>
        <v>SIZE 035;2.239"I.D.X2.379"O.D.X.070"DIA. CROSS SECTION. TEFLON (TFE). NOTE: INDIVIDUAL CONTAINER SUCH AS CARTON, ROLL OR BAG SUPPLIED BY;      VENDOR REQUIRES A LABEL OR TAG INDICATING MANUFACTURER,       MANUFACTURER'S P/N, DATE OF MANUFACTURE AND "B&amp;G" P/N!;</v>
      </c>
      <c r="D259" s="3" t="s">
        <v>6</v>
      </c>
      <c r="E259" s="10" t="s">
        <v>261</v>
      </c>
    </row>
    <row r="260" spans="1:5" x14ac:dyDescent="0.3">
      <c r="A260" s="3" t="s">
        <v>262</v>
      </c>
      <c r="B260" s="3" t="str">
        <f>VLOOKUP(A260,'[1]XGV Data'!$C$2:$M$330,2,FALSE)</f>
        <v>CAPSCREW HEX HD 1/2-13UNC X 1"</v>
      </c>
      <c r="C260" s="3" t="str">
        <f>VLOOKUP(A260, '[1]XGV Data'!$C$2:$K$359,3, FALSE)</f>
        <v>CAPSCREW; HEX. HD. 1/2" DIA - 13 UNC-2A X 1" LG. LOW CARBON STEEL, SAE GRADE 2. ZINC PLATED;DIMENSIONS TO CONFORM TO ANSI STD. B18.2.1;</v>
      </c>
      <c r="D260" s="3" t="s">
        <v>42</v>
      </c>
      <c r="E260" s="10" t="s">
        <v>263</v>
      </c>
    </row>
    <row r="261" spans="1:5" x14ac:dyDescent="0.3">
      <c r="A261" s="8" t="s">
        <v>933</v>
      </c>
      <c r="B261" s="5" t="s">
        <v>934</v>
      </c>
      <c r="C261" s="6" t="s">
        <v>935</v>
      </c>
      <c r="D261" s="6" t="s">
        <v>450</v>
      </c>
      <c r="E261" s="7" t="s">
        <v>936</v>
      </c>
    </row>
    <row r="262" spans="1:5" x14ac:dyDescent="0.3">
      <c r="A262" s="3" t="s">
        <v>264</v>
      </c>
      <c r="B262" s="3" t="str">
        <f>VLOOKUP(A262,'[1]XGV Data'!$C$2:$M$330,2,FALSE)</f>
        <v>NUT HEX STD    3/8-24UNF-2B</v>
      </c>
      <c r="C262" s="3" t="str">
        <f>VLOOKUP(A262, '[1]XGV Data'!$C$2:$K$359,3, FALSE)</f>
        <v>NUT, HEXAGON, 3/8" - 24 UNF-2B AMERICAN STD. LIGHT SEMI-FINISHED, #316 STAINLESS STEEL.</v>
      </c>
      <c r="D262" s="3" t="s">
        <v>6</v>
      </c>
      <c r="E262" s="10" t="s">
        <v>265</v>
      </c>
    </row>
    <row r="263" spans="1:5" x14ac:dyDescent="0.3">
      <c r="A263" s="3" t="s">
        <v>266</v>
      </c>
      <c r="B263" s="3" t="str">
        <f>VLOOKUP(A263,'[1]XGV Data'!$C$2:$M$330,2,FALSE)</f>
        <v>NUT HEX STD    7/16-14UNC-2B</v>
      </c>
      <c r="C263" s="3" t="str">
        <f>VLOOKUP(A263, '[1]XGV Data'!$C$2:$K$359,3, FALSE)</f>
        <v>NUT; HEXAGON: 7/16" - 14 UNC - 2B - AMERICAN STD. &amp; UNIFIED - STD. STEEL, ZINC PLATED;</v>
      </c>
      <c r="D263" s="3" t="s">
        <v>6</v>
      </c>
      <c r="E263" s="10" t="s">
        <v>267</v>
      </c>
    </row>
    <row r="264" spans="1:5" x14ac:dyDescent="0.3">
      <c r="A264" s="3" t="s">
        <v>268</v>
      </c>
      <c r="B264" s="3" t="str">
        <f>VLOOKUP(A264,'[1]XGV Data'!$C$2:$M$330,2,FALSE)</f>
        <v>CAPSCREW HEX HD 1/2-13NCX2</v>
      </c>
      <c r="C264" s="3" t="str">
        <f>VLOOKUP(A264, '[1]XGV Data'!$C$2:$K$359,3, FALSE)</f>
        <v>CAPSCREW, HEX HD. 1/2" DIA.-13UNC-2A X 2" LG. STEEL;DIMENSIONS TO CONFORM TO ANSI STANDARD B18.2.1;LOW CARBON STEEL, SAE GRADE 2. ZINC PLATED;</v>
      </c>
      <c r="D264" s="3" t="s">
        <v>42</v>
      </c>
      <c r="E264" s="10" t="s">
        <v>269</v>
      </c>
    </row>
    <row r="265" spans="1:5" x14ac:dyDescent="0.3">
      <c r="A265" s="8" t="s">
        <v>937</v>
      </c>
      <c r="B265" s="5" t="s">
        <v>938</v>
      </c>
      <c r="C265" s="6" t="s">
        <v>939</v>
      </c>
      <c r="D265" s="6" t="s">
        <v>648</v>
      </c>
      <c r="E265" s="7" t="s">
        <v>940</v>
      </c>
    </row>
    <row r="266" spans="1:5" x14ac:dyDescent="0.3">
      <c r="A266" s="3" t="s">
        <v>270</v>
      </c>
      <c r="B266" s="3" t="str">
        <f>VLOOKUP(A266,'[1]XGV Data'!$C$2:$M$330,2,FALSE)</f>
        <v>CAPSCREW HEX HD 5/16-18NCX1</v>
      </c>
      <c r="C266" s="3" t="str">
        <f>VLOOKUP(A266, '[1]XGV Data'!$C$2:$K$359,3, FALSE)</f>
        <v>CAPSCREW HEX HEAD 5/16" DIA-18UNC-2AX/"LG;COMMERCIAL BRASS.</v>
      </c>
      <c r="D266" s="3" t="s">
        <v>6</v>
      </c>
      <c r="E266" s="10" t="s">
        <v>271</v>
      </c>
    </row>
    <row r="267" spans="1:5" x14ac:dyDescent="0.3">
      <c r="A267" s="3" t="s">
        <v>272</v>
      </c>
      <c r="B267" s="3" t="str">
        <f>VLOOKUP(A267,'[1]XGV Data'!$C$2:$M$330,2,FALSE)</f>
        <v>CAPSCREW HEX HD 7/16-14NC X 1</v>
      </c>
      <c r="C267" s="3" t="str">
        <f>VLOOKUP(A267, '[1]XGV Data'!$C$2:$K$359,3, FALSE)</f>
        <v>CAPSCREW, HEX. HD. 7/16" DIA - 14 UNC-2A X 1" LG. DIMENSIONS TO CONFORM TO ANSI STANDARD B18.2.1;LOW CARBON STEEL, SAE GRADE2. NOTE: EACH SHIPPING CONTAINER TO HAVE A MAXIMUM;OF 1000 PIECES. ZINC PLATED;</v>
      </c>
      <c r="D267" s="3" t="s">
        <v>42</v>
      </c>
      <c r="E267" s="10" t="s">
        <v>273</v>
      </c>
    </row>
    <row r="268" spans="1:5" x14ac:dyDescent="0.3">
      <c r="A268" s="8" t="s">
        <v>941</v>
      </c>
      <c r="B268" s="5" t="s">
        <v>942</v>
      </c>
      <c r="C268" s="6" t="s">
        <v>943</v>
      </c>
      <c r="D268" s="6" t="s">
        <v>450</v>
      </c>
      <c r="E268" s="7" t="s">
        <v>944</v>
      </c>
    </row>
    <row r="269" spans="1:5" x14ac:dyDescent="0.3">
      <c r="A269" s="3" t="s">
        <v>274</v>
      </c>
      <c r="B269" s="3" t="str">
        <f>VLOOKUP(A269,'[1]XGV Data'!$C$2:$M$330,2,FALSE)</f>
        <v>SCR#8-32NCX1/4,PHILLIPS RND ST</v>
      </c>
      <c r="C269" s="3" t="str">
        <f>VLOOKUP(A269, '[1]XGV Data'!$C$2:$K$359,3, FALSE)</f>
        <v>#8 - 32 UNC - 2A X 1/4" , PHILLIPS ROUND HEAD; DRIVER SIZE #2; MACHINE SCREW, STEEL, ZINC PLATED;</v>
      </c>
      <c r="D269" s="3" t="s">
        <v>42</v>
      </c>
      <c r="E269" s="10" t="s">
        <v>275</v>
      </c>
    </row>
    <row r="270" spans="1:5" x14ac:dyDescent="0.3">
      <c r="A270" s="3" t="s">
        <v>276</v>
      </c>
      <c r="B270" s="3" t="str">
        <f>VLOOKUP(A270,'[1]XGV Data'!$C$2:$M$330,2,FALSE)</f>
        <v>KEY SHAFT      STD#2WOODRUFF</v>
      </c>
      <c r="C270" s="3" t="str">
        <f>VLOOKUP(A270, '[1]XGV Data'!$C$2:$K$359,3, FALSE)</f>
        <v>KEY,SHAFT STANDARD #2 WOODRUFF, 3/32" X 1/2";CARBON STEEL;</v>
      </c>
      <c r="D270" s="3" t="s">
        <v>6</v>
      </c>
      <c r="E270" s="10" t="s">
        <v>277</v>
      </c>
    </row>
    <row r="271" spans="1:5" x14ac:dyDescent="0.3">
      <c r="A271" s="3" t="s">
        <v>278</v>
      </c>
      <c r="B271" s="3" t="str">
        <f>VLOOKUP(A271,'[1]XGV Data'!$C$2:$M$330,2,FALSE)</f>
        <v>NUT HEX LGT    3/8-24UNF-2B</v>
      </c>
      <c r="C271" s="3" t="str">
        <f>VLOOKUP(A271, '[1]XGV Data'!$C$2:$K$359,3, FALSE)</f>
        <v>NUT,HEXAGON 3/8" - 24UNF-2B AMERICAN STANDARD;LIGHT SEMI-FINISHED,HEX.-BRASS.</v>
      </c>
      <c r="D271" s="3" t="s">
        <v>6</v>
      </c>
      <c r="E271" s="10" t="s">
        <v>279</v>
      </c>
    </row>
    <row r="272" spans="1:5" x14ac:dyDescent="0.3">
      <c r="A272" s="8" t="s">
        <v>945</v>
      </c>
      <c r="B272" s="5" t="s">
        <v>946</v>
      </c>
      <c r="C272" s="6"/>
      <c r="D272" s="6" t="s">
        <v>450</v>
      </c>
      <c r="E272" s="7" t="s">
        <v>947</v>
      </c>
    </row>
    <row r="273" spans="1:5" x14ac:dyDescent="0.3">
      <c r="A273" s="8" t="s">
        <v>280</v>
      </c>
      <c r="B273" s="5" t="s">
        <v>948</v>
      </c>
      <c r="C273" s="6" t="s">
        <v>949</v>
      </c>
      <c r="D273" s="6" t="s">
        <v>699</v>
      </c>
      <c r="E273" s="7" t="s">
        <v>950</v>
      </c>
    </row>
    <row r="274" spans="1:5" x14ac:dyDescent="0.3">
      <c r="A274" s="3" t="s">
        <v>281</v>
      </c>
      <c r="B274" s="3" t="str">
        <f>VLOOKUP(A274,'[1]XGV Data'!$C$2:$M$330,2,FALSE)</f>
        <v>CAPSCREW HEX HD5/16-18NCX7/8LG</v>
      </c>
      <c r="C274" s="3" t="str">
        <f>VLOOKUP(A274, '[1]XGV Data'!$C$2:$K$359,3, FALSE)</f>
        <v>CAPSCREW HEX. HD. 5/16" DIA. - 18UNC-2A X 7/8";DIMENSIONS TO CONFORM TO ANSI STANDARD B18.2.1;LOW CARBON STEEL SAE,GRADE 2.</v>
      </c>
      <c r="D274" s="3" t="s">
        <v>42</v>
      </c>
      <c r="E274" s="10" t="s">
        <v>282</v>
      </c>
    </row>
    <row r="275" spans="1:5" x14ac:dyDescent="0.3">
      <c r="A275" s="3" t="s">
        <v>283</v>
      </c>
      <c r="B275" s="3" t="str">
        <f>VLOOKUP(A275,'[1]XGV Data'!$C$2:$M$330,2,FALSE)</f>
        <v>SET SCR SKT HD 5/16-18NC X 1/2</v>
      </c>
      <c r="C275" s="3" t="str">
        <f>VLOOKUP(A275, '[1]XGV Data'!$C$2:$K$359,3, FALSE)</f>
        <v>SET SCREW, HEX. SOCKET, CUP POINT; 5/16" DIA.-18UNC-2A X 1/2" LG., HOLLOW HEAD BLACK ALLOY STEEL;</v>
      </c>
      <c r="D275" s="3" t="s">
        <v>24</v>
      </c>
      <c r="E275" s="10" t="s">
        <v>284</v>
      </c>
    </row>
    <row r="276" spans="1:5" x14ac:dyDescent="0.3">
      <c r="A276" s="3" t="s">
        <v>285</v>
      </c>
      <c r="B276" s="3" t="str">
        <f>VLOOKUP(A276,'[1]XGV Data'!$C$2:$M$330,2,FALSE)</f>
        <v>WASHER FLAT    3/8 BOLT SIZE</v>
      </c>
      <c r="C276" s="3" t="str">
        <f>VLOOKUP(A276, '[1]XGV Data'!$C$2:$K$359,3, FALSE)</f>
        <v>WASHER; STD. FLAT; 3/8" BOLT SIZE, 5/64" THK X 1";O.D. X 7/16" I.D. - STEEL;ZINC PLATED;</v>
      </c>
      <c r="D276" s="3" t="s">
        <v>42</v>
      </c>
      <c r="E276" s="10" t="s">
        <v>286</v>
      </c>
    </row>
    <row r="277" spans="1:5" x14ac:dyDescent="0.3">
      <c r="A277" s="8" t="s">
        <v>951</v>
      </c>
      <c r="B277" s="5" t="s">
        <v>952</v>
      </c>
      <c r="C277" s="6" t="s">
        <v>953</v>
      </c>
      <c r="D277" s="6" t="s">
        <v>450</v>
      </c>
      <c r="E277" s="7" t="s">
        <v>954</v>
      </c>
    </row>
    <row r="278" spans="1:5" x14ac:dyDescent="0.3">
      <c r="A278" s="8" t="s">
        <v>955</v>
      </c>
      <c r="B278" s="5" t="s">
        <v>956</v>
      </c>
      <c r="C278" s="6" t="s">
        <v>957</v>
      </c>
      <c r="D278" s="6" t="s">
        <v>450</v>
      </c>
      <c r="E278" s="7" t="s">
        <v>958</v>
      </c>
    </row>
    <row r="279" spans="1:5" x14ac:dyDescent="0.3">
      <c r="A279" s="3" t="s">
        <v>287</v>
      </c>
      <c r="B279" s="3" t="str">
        <f>VLOOKUP(A279,'[1]XGV Data'!$C$2:$M$330,2,FALSE)</f>
        <v>LOCKWASHER     7/16 BOLT SIZE</v>
      </c>
      <c r="C279" s="3" t="str">
        <f>VLOOKUP(A279, '[1]XGV Data'!$C$2:$K$359,3, FALSE)</f>
        <v>LOCKWASHER; SPRING LOCK TYPE; 7/16" BOLT SIZE; STEEL;ZINC PLATED;</v>
      </c>
      <c r="D279" s="3" t="s">
        <v>24</v>
      </c>
      <c r="E279" s="10" t="s">
        <v>288</v>
      </c>
    </row>
    <row r="280" spans="1:5" x14ac:dyDescent="0.3">
      <c r="A280" s="3" t="s">
        <v>289</v>
      </c>
      <c r="B280" s="3" t="str">
        <f>VLOOKUP(A280,'[1]XGV Data'!$C$2:$M$330,2,FALSE)</f>
        <v>LOCKWASHER     7/16 BOLT SIZE</v>
      </c>
      <c r="C280" s="3" t="str">
        <f>VLOOKUP(A280, '[1]XGV Data'!$C$2:$K$359,3, FALSE)</f>
        <v>LOCKWASHER SPRING LOCK TYPE, 7/16"BOLT SIZE, MEDIUM SERIES, STAINLESS STEEL TYPE #316.</v>
      </c>
      <c r="D280" s="3" t="s">
        <v>6</v>
      </c>
      <c r="E280" s="10" t="s">
        <v>290</v>
      </c>
    </row>
    <row r="281" spans="1:5" x14ac:dyDescent="0.3">
      <c r="A281" s="3" t="s">
        <v>291</v>
      </c>
      <c r="B281" s="3" t="str">
        <f>VLOOKUP(A281,'[1]XGV Data'!$C$2:$M$330,2,FALSE)</f>
        <v>CAPSCREW HEX HD 1/2-13NCX1-1/4</v>
      </c>
      <c r="C281" s="3" t="str">
        <f>VLOOKUP(A281, '[1]XGV Data'!$C$2:$K$359,3, FALSE)</f>
        <v>CAPSCREW, HEX HD. 1/2"DIA.-13UNC-2A X 1-1/4" LG. DIMENSIONS TO CONFORM TO ANSI STANDARD B18.2.1;"LOW CARBON STEEL, SAE GRADE 2";ZINC PLATED;</v>
      </c>
      <c r="D281" s="3" t="s">
        <v>42</v>
      </c>
      <c r="E281" s="10" t="s">
        <v>292</v>
      </c>
    </row>
    <row r="282" spans="1:5" x14ac:dyDescent="0.3">
      <c r="A282" s="3" t="s">
        <v>293</v>
      </c>
      <c r="B282" s="3" t="str">
        <f>VLOOKUP(A282,'[1]XGV Data'!$C$2:$M$330,2,FALSE)</f>
        <v>CAPSCREW HEX HD1/2-13UNCX1-1/2</v>
      </c>
      <c r="C282" s="3" t="str">
        <f>VLOOKUP(A282, '[1]XGV Data'!$C$2:$K$359,3, FALSE)</f>
        <v>CAPSCREW; HEX HD. 1/2" DIA 13 UNC-2A X 1-1/2" LG. TYPE 304 OR 305 STAINLESS STEEL;</v>
      </c>
      <c r="D282" s="3" t="s">
        <v>294</v>
      </c>
      <c r="E282" s="10" t="s">
        <v>295</v>
      </c>
    </row>
    <row r="283" spans="1:5" x14ac:dyDescent="0.3">
      <c r="A283" s="3" t="s">
        <v>296</v>
      </c>
      <c r="B283" s="3" t="str">
        <f>VLOOKUP(A283,'[1]XGV Data'!$C$2:$M$330,2,FALSE)</f>
        <v>CAPSCREW HEX HD 5/8-11NCX2-1/4</v>
      </c>
      <c r="C283" s="3" t="str">
        <f>VLOOKUP(A283, '[1]XGV Data'!$C$2:$K$359,3, FALSE)</f>
        <v>CAPSCREW; HEX HD. 5/8" DIA - 11 UNC-2A X 2-1/4" LG;DIMENSIONS TO CONFORM TO ANSI STANDARD B18.2.1;LOW CARBON STEEL, SAE GRADE 2.</v>
      </c>
      <c r="D283" s="3" t="s">
        <v>42</v>
      </c>
      <c r="E283" s="10" t="s">
        <v>297</v>
      </c>
    </row>
    <row r="284" spans="1:5" x14ac:dyDescent="0.3">
      <c r="A284" s="8" t="s">
        <v>959</v>
      </c>
      <c r="B284" s="5" t="s">
        <v>960</v>
      </c>
      <c r="C284" s="6" t="s">
        <v>961</v>
      </c>
      <c r="D284" s="6" t="s">
        <v>699</v>
      </c>
      <c r="E284" s="7" t="s">
        <v>962</v>
      </c>
    </row>
    <row r="285" spans="1:5" x14ac:dyDescent="0.3">
      <c r="A285" s="3" t="s">
        <v>298</v>
      </c>
      <c r="B285" s="3" t="str">
        <f>VLOOKUP(A285,'[1]XGV Data'!$C$2:$M$330,2,FALSE)</f>
        <v>LOCKWASHER 3/8 BOLT SIZE</v>
      </c>
      <c r="C285" s="3" t="str">
        <f>VLOOKUP(A285, '[1]XGV Data'!$C$2:$K$359,3, FALSE)</f>
        <v>LOCKWASHER; SPLIT RING SPRING DESIGN; 3/8" BOLT;SIZE; MEDIUM SERIES; BLACK CARBON STEEL;ZINC PLATED;</v>
      </c>
      <c r="D285" s="3" t="s">
        <v>24</v>
      </c>
      <c r="E285" s="10" t="s">
        <v>299</v>
      </c>
    </row>
    <row r="286" spans="1:5" x14ac:dyDescent="0.3">
      <c r="A286" s="3" t="s">
        <v>300</v>
      </c>
      <c r="B286" s="3" t="str">
        <f>VLOOKUP(A286,'[1]XGV Data'!$C$2:$M$330,2,FALSE)</f>
        <v>CAPSCREW HEX HD5/8-11NCX1-3/4</v>
      </c>
      <c r="C286" s="3" t="str">
        <f>VLOOKUP(A286, '[1]XGV Data'!$C$2:$K$359,3, FALSE)</f>
        <v>5/8"DIA.-11UNC-2AX1-3/4"LG. DIMENSIONS TO CONFORM TO ANSI STANDRAD B18.2.1;"LOW CARBON STEEL, SAE GRADE 2.";ZINC PLATED;</v>
      </c>
      <c r="D286" s="3" t="s">
        <v>42</v>
      </c>
      <c r="E286" s="10" t="s">
        <v>301</v>
      </c>
    </row>
    <row r="287" spans="1:5" x14ac:dyDescent="0.3">
      <c r="A287" s="3" t="s">
        <v>302</v>
      </c>
      <c r="B287" s="3" t="str">
        <f>VLOOKUP(A287,'[1]XGV Data'!$C$2:$M$330,2,FALSE)</f>
        <v>CAPSCREW HEX HD5/8-11NCX1-1/2</v>
      </c>
      <c r="C287" s="3" t="str">
        <f>VLOOKUP(A287, '[1]XGV Data'!$C$2:$K$359,3, FALSE)</f>
        <v>CAPSCREW; HEX HD. 5/8" DIA - 11 UNC-2A X 1-1/2";LG. STEEL;DIMENSIONS TO CONFORM TO ANSI STANDARD B18.2.1;LOW CARBON STEEL, SAE GRADE 2. ZINC PLATED;</v>
      </c>
      <c r="D287" s="3" t="s">
        <v>42</v>
      </c>
      <c r="E287" s="10" t="s">
        <v>303</v>
      </c>
    </row>
    <row r="288" spans="1:5" x14ac:dyDescent="0.3">
      <c r="A288" s="8" t="s">
        <v>304</v>
      </c>
      <c r="B288" s="5" t="s">
        <v>963</v>
      </c>
      <c r="C288" s="6" t="s">
        <v>964</v>
      </c>
      <c r="D288" s="6" t="s">
        <v>450</v>
      </c>
      <c r="E288" s="7" t="s">
        <v>965</v>
      </c>
    </row>
    <row r="289" spans="1:5" x14ac:dyDescent="0.3">
      <c r="A289" s="3" t="s">
        <v>305</v>
      </c>
      <c r="B289" s="3" t="str">
        <f>VLOOKUP(A289,'[1]XGV Data'!$C$2:$M$330,2,FALSE)</f>
        <v>CAPSCREW HEX HD3/4-10UNCX1-1/2</v>
      </c>
      <c r="C289" s="3" t="str">
        <f>VLOOKUP(A289, '[1]XGV Data'!$C$2:$K$359,3, FALSE)</f>
        <v>3/4"DIA.-10UNC-2AX1-1/2"LG. DIMENSIONS TO CONFORM TO ANSI STANDRAD B18.2.1;"LOW CARBON STEEL, SAE GRADE 2.";ZINC PLATED.</v>
      </c>
      <c r="D289" s="3" t="s">
        <v>42</v>
      </c>
      <c r="E289" s="10" t="s">
        <v>306</v>
      </c>
    </row>
    <row r="290" spans="1:5" x14ac:dyDescent="0.3">
      <c r="A290" s="3" t="s">
        <v>307</v>
      </c>
      <c r="B290" s="3" t="str">
        <f>VLOOKUP(A290,'[1]XGV Data'!$C$2:$M$330,2,FALSE)</f>
        <v>NUT HEX CAP    7/16-20UNF-2B</v>
      </c>
      <c r="C290" s="3" t="str">
        <f>VLOOKUP(A290, '[1]XGV Data'!$C$2:$K$359,3, FALSE)</f>
        <v>NUT, HEXAGON CAP; 7/16" - 20 UNF-2B; 18-8 STAINLESS STEEL;MSC # P/N 91855A332 OR EQUAL.</v>
      </c>
      <c r="D290" s="3" t="s">
        <v>24</v>
      </c>
      <c r="E290" s="10" t="s">
        <v>308</v>
      </c>
    </row>
    <row r="291" spans="1:5" x14ac:dyDescent="0.3">
      <c r="A291" s="8" t="s">
        <v>966</v>
      </c>
      <c r="B291" s="5" t="s">
        <v>967</v>
      </c>
      <c r="C291" s="6" t="s">
        <v>968</v>
      </c>
      <c r="D291" s="6" t="s">
        <v>450</v>
      </c>
      <c r="E291" s="7" t="s">
        <v>318</v>
      </c>
    </row>
    <row r="292" spans="1:5" x14ac:dyDescent="0.3">
      <c r="A292" s="8" t="s">
        <v>969</v>
      </c>
      <c r="B292" s="5" t="s">
        <v>970</v>
      </c>
      <c r="C292" s="6" t="s">
        <v>971</v>
      </c>
      <c r="D292" s="6" t="s">
        <v>450</v>
      </c>
      <c r="E292" s="7" t="s">
        <v>596</v>
      </c>
    </row>
    <row r="293" spans="1:5" x14ac:dyDescent="0.3">
      <c r="A293" s="3" t="s">
        <v>309</v>
      </c>
      <c r="B293" s="3" t="str">
        <f>VLOOKUP(A293,'[1]XGV Data'!$C$2:$M$330,2,FALSE)</f>
        <v>STUD .62-11UNC STUD X 2.00 STL</v>
      </c>
      <c r="C293" s="3" t="str">
        <f>VLOOKUP(A293, '[1]XGV Data'!$C$2:$K$359,3, FALSE)</f>
        <v>MATERIAL: CARBON STEEL;</v>
      </c>
      <c r="D293" s="3" t="s">
        <v>42</v>
      </c>
      <c r="E293" s="10" t="s">
        <v>310</v>
      </c>
    </row>
    <row r="294" spans="1:5" x14ac:dyDescent="0.3">
      <c r="A294" s="3" t="s">
        <v>311</v>
      </c>
      <c r="B294" s="3" t="str">
        <f>VLOOKUP(A294,'[1]XGV Data'!$C$2:$M$330,2,FALSE)</f>
        <v>NUT JAM .62-11UNC STEEL</v>
      </c>
      <c r="C294" s="3" t="str">
        <f>VLOOKUP(A294, '[1]XGV Data'!$C$2:$K$359,3, FALSE)</f>
        <v>MATERIAL: CARBON STEEL;</v>
      </c>
      <c r="D294" s="3" t="s">
        <v>6</v>
      </c>
      <c r="E294" s="10" t="s">
        <v>312</v>
      </c>
    </row>
    <row r="295" spans="1:5" x14ac:dyDescent="0.3">
      <c r="A295" s="8" t="s">
        <v>972</v>
      </c>
      <c r="B295" s="5" t="s">
        <v>973</v>
      </c>
      <c r="C295" s="6" t="s">
        <v>974</v>
      </c>
      <c r="D295" s="6" t="s">
        <v>450</v>
      </c>
      <c r="E295" s="7" t="s">
        <v>975</v>
      </c>
    </row>
    <row r="296" spans="1:5" x14ac:dyDescent="0.3">
      <c r="A296" s="3" t="s">
        <v>313</v>
      </c>
      <c r="B296" s="3" t="str">
        <f>VLOOKUP(A296,'[1]XGV Data'!$C$2:$M$330,2,FALSE)</f>
        <v>CAPSCREW HEX HD 1/4-20NCX3/4</v>
      </c>
      <c r="C296" s="3" t="str">
        <f>VLOOKUP(A296, '[1]XGV Data'!$C$2:$K$359,3, FALSE)</f>
        <v>CAPSCREW, HEX HD. 1/4" DIA - 20 UNC-2A X 3/4" LG. DIMENSIONS TO CONFORM TO ANSI STANDARD B18.2.1;LOW CARBON STEEL SAE GRADE 2. NOTE: EACH SHIPPING CONTAINER TO HAVE A MAXIMUM;OF 3,000 PIECES. ZINC PLATED;</v>
      </c>
      <c r="D296" s="3" t="s">
        <v>42</v>
      </c>
      <c r="E296" s="10" t="s">
        <v>314</v>
      </c>
    </row>
    <row r="297" spans="1:5" x14ac:dyDescent="0.3">
      <c r="A297" s="3" t="s">
        <v>315</v>
      </c>
      <c r="B297" s="3" t="str">
        <f>VLOOKUP(A297,'[1]XGV Data'!$C$2:$M$330,2,FALSE)</f>
        <v>PLUG HEX HD    1/8NPT</v>
      </c>
      <c r="C297" s="3" t="str">
        <f>VLOOKUP(A297, '[1]XGV Data'!$C$2:$K$359,3, FALSE)</f>
        <v>PLUG, PIPE: HEX HD. SOLID 1/8" NPT - STEEL;"ZINC PLATED";</v>
      </c>
      <c r="D297" s="3" t="s">
        <v>42</v>
      </c>
      <c r="E297" s="10" t="s">
        <v>316</v>
      </c>
    </row>
    <row r="298" spans="1:5" x14ac:dyDescent="0.3">
      <c r="A298" s="3" t="s">
        <v>317</v>
      </c>
      <c r="B298" s="3" t="str">
        <f>VLOOKUP(A298,'[1]XGV Data'!$C$2:$M$330,2,FALSE)</f>
        <v>PLUG HEX HD    1/4NPT</v>
      </c>
      <c r="C298" s="3" t="str">
        <f>VLOOKUP(A298, '[1]XGV Data'!$C$2:$K$359,3, FALSE)</f>
        <v>PLUG, PIPE: HEX HD., 1/4" NPT. - STEEL;"ZINC PLATED".      U.S.A VENDOR;     REF: THIS PART IS USED IN A;     "MADE IN USA" ASSEMBLY.      REVIEW ASSEMBLY BEFORE;     SOURCING OUTSIDE THE U.S.A;</v>
      </c>
      <c r="D298" s="3" t="s">
        <v>42</v>
      </c>
      <c r="E298" s="10" t="s">
        <v>318</v>
      </c>
    </row>
    <row r="299" spans="1:5" ht="28.8" x14ac:dyDescent="0.3">
      <c r="A299" s="8" t="s">
        <v>317</v>
      </c>
      <c r="B299" s="5" t="s">
        <v>976</v>
      </c>
      <c r="C299" s="6" t="s">
        <v>977</v>
      </c>
      <c r="D299" s="6" t="s">
        <v>492</v>
      </c>
      <c r="E299" s="6" t="s">
        <v>978</v>
      </c>
    </row>
    <row r="300" spans="1:5" x14ac:dyDescent="0.3">
      <c r="A300" s="3" t="s">
        <v>319</v>
      </c>
      <c r="B300" s="3" t="str">
        <f>VLOOKUP(A300,'[1]XGV Data'!$C$2:$M$330,2,FALSE)</f>
        <v>PLUG HEX HD    1/4NPT</v>
      </c>
      <c r="C300" s="3" t="str">
        <f>VLOOKUP(A300, '[1]XGV Data'!$C$2:$K$359,3, FALSE)</f>
        <v>PLUG, PIPE HEXAGON HD. 1/4"NPT, TYPE #304-STAINLESS STEEL.</v>
      </c>
      <c r="D300" s="3" t="s">
        <v>6</v>
      </c>
      <c r="E300" s="10" t="s">
        <v>320</v>
      </c>
    </row>
    <row r="301" spans="1:5" x14ac:dyDescent="0.3">
      <c r="A301" s="3" t="s">
        <v>321</v>
      </c>
      <c r="B301" s="3" t="str">
        <f>VLOOKUP(A301,'[1]XGV Data'!$C$2:$M$330,2,FALSE)</f>
        <v>PLUG SQ HD     3/8NPT</v>
      </c>
      <c r="C301" s="3" t="str">
        <f>VLOOKUP(A301, '[1]XGV Data'!$C$2:$K$359,3, FALSE)</f>
        <v>PLUG, PIPE;SQUARE HEAD; SOLID - 3/8" NPT;CAST IRON, GALVANIZED.</v>
      </c>
      <c r="D301" s="3" t="s">
        <v>42</v>
      </c>
      <c r="E301" s="10" t="s">
        <v>322</v>
      </c>
    </row>
    <row r="302" spans="1:5" x14ac:dyDescent="0.3">
      <c r="A302" s="3" t="s">
        <v>323</v>
      </c>
      <c r="B302" s="3" t="str">
        <f>VLOOKUP(A302,'[1]XGV Data'!$C$2:$M$330,2,FALSE)</f>
        <v>PLUG HEX HD    1/8NPT</v>
      </c>
      <c r="C302" s="3" t="str">
        <f>VLOOKUP(A302, '[1]XGV Data'!$C$2:$K$359,3, FALSE)</f>
        <v>PLUG,PIPE  HEX. HD. SOLID 1/8"NPT BRASS;</v>
      </c>
      <c r="D302" s="3" t="s">
        <v>6</v>
      </c>
      <c r="E302" s="10" t="s">
        <v>324</v>
      </c>
    </row>
    <row r="303" spans="1:5" x14ac:dyDescent="0.3">
      <c r="A303" s="3" t="s">
        <v>325</v>
      </c>
      <c r="B303" s="3" t="str">
        <f>VLOOKUP(A303,'[1]XGV Data'!$C$2:$M$330,2,FALSE)</f>
        <v>CAPSCREW HEX HD3/8-16UNCX7/8</v>
      </c>
      <c r="C303" s="3" t="str">
        <f>VLOOKUP(A303, '[1]XGV Data'!$C$2:$K$359,3, FALSE)</f>
        <v>CAPSCREW, HEX.HD.3/8" DIA. 16UNC-2A X 7/8"LG. DIMENSIONS TO CONFORM TO ANSI STANDARD B18.2.1;"LOW CARBON STEEL, SAE GRADE 2";NOTE: EACH SHIPPING CONTAINER TO HAVE A;MAXIMUM OF 1000 PIECES. ZINC PLATED;</v>
      </c>
      <c r="D303" s="3" t="s">
        <v>42</v>
      </c>
      <c r="E303" s="10" t="s">
        <v>326</v>
      </c>
    </row>
    <row r="304" spans="1:5" x14ac:dyDescent="0.3">
      <c r="A304" s="3" t="s">
        <v>327</v>
      </c>
      <c r="B304" s="3" t="str">
        <f>VLOOKUP(A304,'[1]XGV Data'!$C$2:$M$330,2,FALSE)</f>
        <v>NUT HX LGT     5/16-18UNC-2B</v>
      </c>
      <c r="C304" s="3" t="str">
        <f>VLOOKUP(A304, '[1]XGV Data'!$C$2:$K$359,3, FALSE)</f>
        <v>NUT, HEXAGON; 5/16" - 18 UNC-2B: AMERICAN STANDARD, LIGHT, SEMI-FINISHED;ZINC PLATED;</v>
      </c>
      <c r="D304" s="3" t="s">
        <v>6</v>
      </c>
      <c r="E304" s="10" t="s">
        <v>328</v>
      </c>
    </row>
    <row r="305" spans="1:5" x14ac:dyDescent="0.3">
      <c r="A305" s="3" t="s">
        <v>329</v>
      </c>
      <c r="B305" s="3" t="str">
        <f>VLOOKUP(A305,'[1]XGV Data'!$C$2:$M$330,2,FALSE)</f>
        <v>CAPSCREW HEX HD 3/8-16NCX3</v>
      </c>
      <c r="C305" s="3" t="str">
        <f>VLOOKUP(A305, '[1]XGV Data'!$C$2:$K$359,3, FALSE)</f>
        <v>SCREW, CAP; HEX. HEAD 3/8" DIA;16 UNC - 2A X 3" LG. STEEL. DIMENSIONS TO CONFORM TO ANSI STANDARD B18.2.1;LOW CARBON STEEL, SAE GRADE 2. ZINC PLATED;</v>
      </c>
      <c r="D305" s="3" t="s">
        <v>42</v>
      </c>
      <c r="E305" s="10" t="s">
        <v>330</v>
      </c>
    </row>
    <row r="306" spans="1:5" x14ac:dyDescent="0.3">
      <c r="A306" s="3" t="s">
        <v>331</v>
      </c>
      <c r="B306" s="3" t="str">
        <f>VLOOKUP(A306,'[1]XGV Data'!$C$2:$M$330,2,FALSE)</f>
        <v>WASHER FLAT    5/16 BOLT SIZE</v>
      </c>
      <c r="C306" s="3" t="str">
        <f>VLOOKUP(A306, '[1]XGV Data'!$C$2:$K$359,3, FALSE)</f>
        <v>WASHER; STANDARD FLAT; 5/16" BOLT SIZE;-7/8" O.D. X 3/8" I.D. X # 14 GA.  (5/64")TK.-STEEL, ZINC PLATED;</v>
      </c>
      <c r="D306" s="3" t="s">
        <v>42</v>
      </c>
      <c r="E306" s="10" t="s">
        <v>332</v>
      </c>
    </row>
    <row r="307" spans="1:5" x14ac:dyDescent="0.3">
      <c r="A307" s="3" t="s">
        <v>333</v>
      </c>
      <c r="B307" s="3" t="str">
        <f>VLOOKUP(A307,'[1]XGV Data'!$C$2:$M$330,2,FALSE)</f>
        <v>LOCKWASHER     5/16 BOLT SIZE</v>
      </c>
      <c r="C307" s="3" t="str">
        <f>VLOOKUP(A307, '[1]XGV Data'!$C$2:$K$359,3, FALSE)</f>
        <v>LOCKWASHER; SPLIT RING SPRING DESIGN; 5/16" DIA. BOLT SIZE; MEDIUM SERIES; CARBON STEEL. ZINC PLATED;</v>
      </c>
      <c r="D307" s="3" t="s">
        <v>24</v>
      </c>
      <c r="E307" s="10" t="s">
        <v>334</v>
      </c>
    </row>
    <row r="308" spans="1:5" x14ac:dyDescent="0.3">
      <c r="A308" s="3" t="s">
        <v>335</v>
      </c>
      <c r="B308" s="3" t="str">
        <f>VLOOKUP(A308,'[1]XGV Data'!$C$2:$M$330,2,FALSE)</f>
        <v>CAPSCREW,HEX HD 1/2-13NCX1-3/4</v>
      </c>
      <c r="C308" s="3" t="str">
        <f>VLOOKUP(A308, '[1]XGV Data'!$C$2:$K$359,3, FALSE)</f>
        <v>1/2"DIA.-13 UNC-2A X 1-3/4"LG. ASTM-A449/SAE-J429 GRADE 5, STEEL.</v>
      </c>
      <c r="D308" s="3" t="s">
        <v>42</v>
      </c>
      <c r="E308" s="10" t="s">
        <v>336</v>
      </c>
    </row>
    <row r="309" spans="1:5" x14ac:dyDescent="0.3">
      <c r="A309" s="8" t="s">
        <v>979</v>
      </c>
      <c r="B309" s="5" t="s">
        <v>980</v>
      </c>
      <c r="C309" s="6" t="s">
        <v>981</v>
      </c>
      <c r="D309" s="12" t="s">
        <v>699</v>
      </c>
      <c r="E309" s="7" t="s">
        <v>982</v>
      </c>
    </row>
    <row r="310" spans="1:5" x14ac:dyDescent="0.3">
      <c r="A310" s="3" t="s">
        <v>337</v>
      </c>
      <c r="B310" s="3" t="str">
        <f>VLOOKUP(A310,'[1]XGV Data'!$C$2:$M$330,2,FALSE)</f>
        <v>NUT HEX LGT    7/16-20UNF-2B</v>
      </c>
      <c r="C310" s="3" t="str">
        <f>VLOOKUP(A310, '[1]XGV Data'!$C$2:$K$359,3, FALSE)</f>
        <v>NUT, HEXAGON: 7/16" - 20 UNF-2B: AMERICAN STANDARD;LIGHT SEMI-FINISHED,(FULL THICKNESS)- STEEL,ZINC;PLATED.</v>
      </c>
      <c r="D310" s="3" t="s">
        <v>6</v>
      </c>
      <c r="E310" s="10" t="s">
        <v>338</v>
      </c>
    </row>
    <row r="311" spans="1:5" ht="28.8" x14ac:dyDescent="0.3">
      <c r="A311" s="8" t="s">
        <v>983</v>
      </c>
      <c r="B311" s="5" t="s">
        <v>984</v>
      </c>
      <c r="C311" s="6" t="s">
        <v>985</v>
      </c>
      <c r="D311" s="6" t="s">
        <v>699</v>
      </c>
      <c r="E311" s="7" t="s">
        <v>986</v>
      </c>
    </row>
    <row r="312" spans="1:5" x14ac:dyDescent="0.3">
      <c r="A312" s="8" t="s">
        <v>339</v>
      </c>
      <c r="B312" s="5" t="s">
        <v>864</v>
      </c>
      <c r="C312" s="6" t="s">
        <v>987</v>
      </c>
      <c r="D312" s="6" t="s">
        <v>437</v>
      </c>
      <c r="E312" s="7" t="s">
        <v>988</v>
      </c>
    </row>
    <row r="313" spans="1:5" x14ac:dyDescent="0.3">
      <c r="A313" s="3" t="s">
        <v>340</v>
      </c>
      <c r="B313" s="3" t="str">
        <f>VLOOKUP(A313,'[1]XGV Data'!$C$2:$M$330,2,FALSE)</f>
        <v>KEY,IMPELLER   1/8X1/2 NOM</v>
      </c>
      <c r="C313" s="3" t="str">
        <f>VLOOKUP(A313, '[1]XGV Data'!$C$2:$K$359,3, FALSE)</f>
        <v>KEY, IMPELLER: HI-PRO, 1/8" X 1/2" NOM. SIZE -CARBON STEEL SAE 1035 OR C1018;</v>
      </c>
      <c r="D313" s="3" t="s">
        <v>176</v>
      </c>
      <c r="E313" s="10" t="s">
        <v>341</v>
      </c>
    </row>
    <row r="314" spans="1:5" x14ac:dyDescent="0.3">
      <c r="A314" s="8" t="s">
        <v>989</v>
      </c>
      <c r="B314" s="5" t="s">
        <v>990</v>
      </c>
      <c r="C314" s="6" t="s">
        <v>991</v>
      </c>
      <c r="D314" s="6" t="s">
        <v>437</v>
      </c>
      <c r="E314" s="7" t="s">
        <v>992</v>
      </c>
    </row>
    <row r="315" spans="1:5" x14ac:dyDescent="0.3">
      <c r="A315" s="8" t="s">
        <v>993</v>
      </c>
      <c r="B315" s="5" t="s">
        <v>994</v>
      </c>
      <c r="C315" s="6" t="s">
        <v>995</v>
      </c>
      <c r="D315" s="6" t="s">
        <v>437</v>
      </c>
      <c r="E315" s="7" t="s">
        <v>996</v>
      </c>
    </row>
    <row r="316" spans="1:5" x14ac:dyDescent="0.3">
      <c r="A316" s="8" t="s">
        <v>997</v>
      </c>
      <c r="B316" s="5" t="s">
        <v>994</v>
      </c>
      <c r="C316" s="6" t="s">
        <v>998</v>
      </c>
      <c r="D316" s="6" t="s">
        <v>437</v>
      </c>
      <c r="E316" s="7" t="s">
        <v>996</v>
      </c>
    </row>
    <row r="317" spans="1:5" x14ac:dyDescent="0.3">
      <c r="A317" s="8" t="s">
        <v>999</v>
      </c>
      <c r="B317" s="5" t="s">
        <v>1000</v>
      </c>
      <c r="C317" s="6" t="s">
        <v>1001</v>
      </c>
      <c r="D317" s="6" t="s">
        <v>437</v>
      </c>
      <c r="E317" s="7" t="s">
        <v>1002</v>
      </c>
    </row>
    <row r="318" spans="1:5" x14ac:dyDescent="0.3">
      <c r="A318" s="8" t="s">
        <v>1003</v>
      </c>
      <c r="B318" s="5" t="s">
        <v>1004</v>
      </c>
      <c r="C318" s="6" t="s">
        <v>1005</v>
      </c>
      <c r="D318" s="6" t="s">
        <v>437</v>
      </c>
      <c r="E318" s="7" t="s">
        <v>1006</v>
      </c>
    </row>
    <row r="319" spans="1:5" x14ac:dyDescent="0.3">
      <c r="A319" s="3" t="s">
        <v>342</v>
      </c>
      <c r="B319" s="3" t="str">
        <f>VLOOKUP(A319,'[1]XGV Data'!$C$2:$M$330,2,FALSE)</f>
        <v>CAPSCREW HEX HD 5/16-18NC X 2</v>
      </c>
      <c r="C319" s="3" t="str">
        <f>VLOOKUP(A319, '[1]XGV Data'!$C$2:$K$359,3, FALSE)</f>
        <v>CAPSCREW, HEX HD 5/16-18UNC X 2;DIMENSIONS TO CONFORM TO ANSI STANDARD B18.2.1;LOW CARBON STEEL, SAE GRADE 2, ZINC PLATED;</v>
      </c>
      <c r="D319" s="3" t="s">
        <v>42</v>
      </c>
      <c r="E319" s="10" t="s">
        <v>343</v>
      </c>
    </row>
    <row r="320" spans="1:5" x14ac:dyDescent="0.3">
      <c r="A320" s="3" t="s">
        <v>344</v>
      </c>
      <c r="B320" s="3" t="str">
        <f>VLOOKUP(A320,'[1]XGV Data'!$C$2:$M$330,2,FALSE)</f>
        <v>SNAP RING EXT. 2"</v>
      </c>
      <c r="C320" s="3" t="str">
        <f>VLOOKUP(A320, '[1]XGV Data'!$C$2:$K$359,3, FALSE)</f>
        <v>SNAP RING, STAINLESS STEEL, EXT. 2";</v>
      </c>
      <c r="D320" s="3" t="s">
        <v>42</v>
      </c>
      <c r="E320" s="10" t="s">
        <v>345</v>
      </c>
    </row>
    <row r="321" spans="1:5" x14ac:dyDescent="0.3">
      <c r="A321" s="3" t="s">
        <v>346</v>
      </c>
      <c r="B321" s="3" t="str">
        <f>VLOOKUP(A321,'[1]XGV Data'!$C$2:$M$330,2,FALSE)</f>
        <v>SNAP RING EXT. 1.62"</v>
      </c>
      <c r="C321" s="3" t="str">
        <f>VLOOKUP(A321, '[1]XGV Data'!$C$2:$K$359,3, FALSE)</f>
        <v>SNAP RING,  EXT. 1.62";</v>
      </c>
      <c r="D321" s="3" t="s">
        <v>176</v>
      </c>
      <c r="E321" s="10" t="s">
        <v>413</v>
      </c>
    </row>
    <row r="322" spans="1:5" x14ac:dyDescent="0.3">
      <c r="A322" s="8" t="s">
        <v>347</v>
      </c>
      <c r="B322" s="5" t="s">
        <v>1007</v>
      </c>
      <c r="C322" s="6" t="s">
        <v>1008</v>
      </c>
      <c r="D322" s="6" t="s">
        <v>437</v>
      </c>
      <c r="E322" s="7" t="s">
        <v>1009</v>
      </c>
    </row>
    <row r="323" spans="1:5" x14ac:dyDescent="0.3">
      <c r="A323" s="3" t="s">
        <v>348</v>
      </c>
      <c r="B323" s="3" t="str">
        <f>VLOOKUP(A323,'[1]XGV Data'!$C$2:$M$330,2,FALSE)</f>
        <v>SNAP RING EXT. 3"</v>
      </c>
      <c r="C323" s="3" t="str">
        <f>VLOOKUP(A323, '[1]XGV Data'!$C$2:$K$359,3, FALSE)</f>
        <v>SNAP RING, STAINLESS STEEL, EXT. 3";</v>
      </c>
      <c r="D323" s="3" t="s">
        <v>349</v>
      </c>
      <c r="E323" s="10" t="s">
        <v>350</v>
      </c>
    </row>
    <row r="324" spans="1:5" x14ac:dyDescent="0.3">
      <c r="A324" s="3" t="s">
        <v>351</v>
      </c>
      <c r="B324" s="3" t="str">
        <f>VLOOKUP(A324,'[1]XGV Data'!$C$2:$M$330,2,FALSE)</f>
        <v>SNAP RING EXT. 3.5"</v>
      </c>
      <c r="C324" s="3" t="str">
        <f>VLOOKUP(A324, '[1]XGV Data'!$C$2:$K$359,3, FALSE)</f>
        <v>SNAP RING, STAINLESS STEEL, EXT. 3.5";</v>
      </c>
      <c r="D324" s="3" t="s">
        <v>349</v>
      </c>
      <c r="E324" s="10" t="s">
        <v>352</v>
      </c>
    </row>
    <row r="325" spans="1:5" x14ac:dyDescent="0.3">
      <c r="A325" s="8" t="s">
        <v>351</v>
      </c>
      <c r="B325" s="5" t="s">
        <v>1010</v>
      </c>
      <c r="C325" s="6" t="s">
        <v>1011</v>
      </c>
      <c r="D325" s="6" t="s">
        <v>437</v>
      </c>
      <c r="E325" s="7" t="s">
        <v>1012</v>
      </c>
    </row>
    <row r="326" spans="1:5" x14ac:dyDescent="0.3">
      <c r="A326" s="8" t="s">
        <v>1013</v>
      </c>
      <c r="B326" s="5" t="s">
        <v>1014</v>
      </c>
      <c r="C326" s="6" t="s">
        <v>1015</v>
      </c>
      <c r="D326" s="12" t="s">
        <v>699</v>
      </c>
      <c r="E326" s="7" t="s">
        <v>1016</v>
      </c>
    </row>
    <row r="327" spans="1:5" x14ac:dyDescent="0.3">
      <c r="A327" s="8" t="s">
        <v>1017</v>
      </c>
      <c r="B327" s="5" t="s">
        <v>1018</v>
      </c>
      <c r="C327" s="6" t="s">
        <v>1019</v>
      </c>
      <c r="D327" s="12" t="s">
        <v>699</v>
      </c>
      <c r="E327" s="7" t="s">
        <v>1020</v>
      </c>
    </row>
    <row r="328" spans="1:5" x14ac:dyDescent="0.3">
      <c r="A328" s="8" t="s">
        <v>1021</v>
      </c>
      <c r="B328" s="5" t="s">
        <v>1022</v>
      </c>
      <c r="C328" s="6" t="s">
        <v>1023</v>
      </c>
      <c r="D328" s="12" t="s">
        <v>648</v>
      </c>
      <c r="E328" s="7" t="s">
        <v>1024</v>
      </c>
    </row>
    <row r="329" spans="1:5" x14ac:dyDescent="0.3">
      <c r="A329" s="8" t="s">
        <v>1025</v>
      </c>
      <c r="B329" s="5" t="s">
        <v>1026</v>
      </c>
      <c r="C329" s="6" t="s">
        <v>1027</v>
      </c>
      <c r="D329" s="12" t="s">
        <v>648</v>
      </c>
      <c r="E329" s="7" t="s">
        <v>901</v>
      </c>
    </row>
    <row r="330" spans="1:5" x14ac:dyDescent="0.3">
      <c r="A330" s="8" t="s">
        <v>1028</v>
      </c>
      <c r="B330" s="5" t="s">
        <v>1029</v>
      </c>
      <c r="C330" s="6" t="s">
        <v>1030</v>
      </c>
      <c r="D330" s="12" t="s">
        <v>699</v>
      </c>
      <c r="E330" s="7" t="s">
        <v>1031</v>
      </c>
    </row>
    <row r="331" spans="1:5" x14ac:dyDescent="0.3">
      <c r="A331" s="3" t="s">
        <v>353</v>
      </c>
      <c r="B331" s="3" t="str">
        <f>VLOOKUP(A331,'[1]XGV Data'!$C$2:$M$330,2,FALSE)</f>
        <v>WASHER FLAT 1 BOLT SIZE</v>
      </c>
      <c r="C331" s="3" t="str">
        <f>VLOOKUP(A331, '[1]XGV Data'!$C$2:$K$359,3, FALSE)</f>
        <v>WASHER FLAT STD. 1 BOLT SIZE;2.5" O.D. X .160'  THK STEEL;ZINC PLATED;</v>
      </c>
      <c r="D331" s="3" t="s">
        <v>24</v>
      </c>
      <c r="E331" s="10" t="s">
        <v>354</v>
      </c>
    </row>
    <row r="332" spans="1:5" x14ac:dyDescent="0.3">
      <c r="A332" s="3" t="s">
        <v>355</v>
      </c>
      <c r="B332" s="3" t="str">
        <f>VLOOKUP(A332,'[1]XGV Data'!$C$2:$M$330,2,FALSE)</f>
        <v>LOCKWASHER 1 BOLT SIZE</v>
      </c>
      <c r="C332" s="3" t="str">
        <f>VLOOKUP(A332, '[1]XGV Data'!$C$2:$K$359,3, FALSE)</f>
        <v>LOCKWASHER: SPLIT RING TYPE (SPRING) 1 BOLT;HEAVY SECTION - CARBON STEEL;ZINC PLATED;</v>
      </c>
      <c r="D332" s="3" t="s">
        <v>6</v>
      </c>
      <c r="E332" s="10" t="s">
        <v>356</v>
      </c>
    </row>
    <row r="333" spans="1:5" x14ac:dyDescent="0.3">
      <c r="A333" s="3" t="s">
        <v>357</v>
      </c>
      <c r="B333" s="3" t="str">
        <f>VLOOKUP(A333,'[1]XGV Data'!$C$2:$M$330,2,FALSE)</f>
        <v>CAPSCREW HEX HD 3/8-16NCX3-1/2</v>
      </c>
      <c r="C333" s="3" t="str">
        <f>VLOOKUP(A333, '[1]XGV Data'!$C$2:$K$359,3, FALSE)</f>
        <v>CAPSCREW, HEX HD. 3/8"DIA.-16UNC-2A X 3-1/2" LG. DIMENSIONS TO CONFORM TO ANSI STANDARD B18.2.1;LOW CARBON STEEL, SAE GRADE 2;</v>
      </c>
      <c r="D333" s="3" t="s">
        <v>42</v>
      </c>
      <c r="E333" s="10" t="s">
        <v>358</v>
      </c>
    </row>
    <row r="334" spans="1:5" x14ac:dyDescent="0.3">
      <c r="A334" s="3" t="s">
        <v>359</v>
      </c>
      <c r="B334" s="3" t="str">
        <f>VLOOKUP(A334,'[1]XGV Data'!$C$2:$M$330,2,FALSE)</f>
        <v>SET SCREW, 1/4-20UNC</v>
      </c>
      <c r="C334" s="3" t="str">
        <f>VLOOKUP(A334, '[1]XGV Data'!$C$2:$K$359,3, FALSE)</f>
        <v>SET SCREW 1/4-20UNC X 3/8 LG. HEX SOCKET, CUP POINT;300 SERIES STAINLESS STEEL;</v>
      </c>
      <c r="D334" s="3" t="s">
        <v>6</v>
      </c>
      <c r="E334" s="10" t="s">
        <v>360</v>
      </c>
    </row>
    <row r="335" spans="1:5" x14ac:dyDescent="0.3">
      <c r="A335" s="8" t="s">
        <v>359</v>
      </c>
      <c r="B335" s="5" t="s">
        <v>1032</v>
      </c>
      <c r="C335" s="6" t="s">
        <v>1033</v>
      </c>
      <c r="D335" s="12" t="s">
        <v>648</v>
      </c>
      <c r="E335" s="7" t="s">
        <v>442</v>
      </c>
    </row>
    <row r="336" spans="1:5" x14ac:dyDescent="0.3">
      <c r="A336" s="8" t="s">
        <v>1034</v>
      </c>
      <c r="B336" s="5" t="s">
        <v>1035</v>
      </c>
      <c r="C336" s="6" t="s">
        <v>1036</v>
      </c>
      <c r="D336" s="12" t="s">
        <v>450</v>
      </c>
      <c r="E336" s="7" t="s">
        <v>1037</v>
      </c>
    </row>
    <row r="337" spans="1:5" x14ac:dyDescent="0.3">
      <c r="A337" s="3" t="s">
        <v>361</v>
      </c>
      <c r="B337" s="3" t="str">
        <f>VLOOKUP(A337,'[1]XGV Data'!$C$2:$M$330,2,FALSE)</f>
        <v>KEY SHAFT      #3 WOODRUFF</v>
      </c>
      <c r="C337" s="3" t="str">
        <f>VLOOKUP(A337, '[1]XGV Data'!$C$2:$K$359,3, FALSE)</f>
        <v>KEY SHAFT STANDARD #3 WOODRUFF 1/8" X 1/2";TYPE 316 STAINLESS STEEL.</v>
      </c>
      <c r="D337" s="3" t="s">
        <v>6</v>
      </c>
      <c r="E337" s="10" t="s">
        <v>362</v>
      </c>
    </row>
    <row r="338" spans="1:5" ht="28.8" x14ac:dyDescent="0.3">
      <c r="A338" s="8" t="s">
        <v>1038</v>
      </c>
      <c r="B338" s="5" t="s">
        <v>1039</v>
      </c>
      <c r="C338" s="6" t="s">
        <v>1040</v>
      </c>
      <c r="D338" s="6" t="s">
        <v>450</v>
      </c>
      <c r="E338" s="7" t="s">
        <v>1041</v>
      </c>
    </row>
    <row r="339" spans="1:5" ht="28.8" x14ac:dyDescent="0.3">
      <c r="A339" s="8" t="s">
        <v>1038</v>
      </c>
      <c r="B339" s="5" t="s">
        <v>1039</v>
      </c>
      <c r="C339" s="6" t="s">
        <v>1040</v>
      </c>
      <c r="D339" s="6" t="s">
        <v>450</v>
      </c>
      <c r="E339" s="7" t="s">
        <v>1041</v>
      </c>
    </row>
    <row r="340" spans="1:5" x14ac:dyDescent="0.3">
      <c r="A340" s="3" t="s">
        <v>363</v>
      </c>
      <c r="B340" s="3" t="str">
        <f>VLOOKUP(A340,'[1]XGV Data'!$C$2:$M$330,2,FALSE)</f>
        <v>CAPSCREW HEX HD 3/8-16NCX1-1/8</v>
      </c>
      <c r="C340" s="3" t="str">
        <f>VLOOKUP(A340, '[1]XGV Data'!$C$2:$K$359,3, FALSE)</f>
        <v>CAPSCREW, HEX HD., 3/8" DIA - 16 UNC-2A X 1-1/8";LG., TYPE #304 OR #305 STAINLESS STEEL. DIMENSIONS TO CONFORM TO ANSI STD. B18.2.1.</v>
      </c>
      <c r="D340" s="3" t="s">
        <v>42</v>
      </c>
      <c r="E340" s="10" t="s">
        <v>364</v>
      </c>
    </row>
    <row r="341" spans="1:5" x14ac:dyDescent="0.3">
      <c r="A341" s="8" t="s">
        <v>363</v>
      </c>
      <c r="B341" s="5" t="s">
        <v>1042</v>
      </c>
      <c r="C341" s="6" t="s">
        <v>1043</v>
      </c>
      <c r="D341" s="6" t="s">
        <v>450</v>
      </c>
      <c r="E341" s="7" t="s">
        <v>1044</v>
      </c>
    </row>
    <row r="342" spans="1:5" x14ac:dyDescent="0.3">
      <c r="A342" s="3" t="s">
        <v>365</v>
      </c>
      <c r="B342" s="3" t="str">
        <f>VLOOKUP(A342,'[1]XGV Data'!$C$2:$M$330,2,FALSE)</f>
        <v>NUT HX STD     3/8-16UNC-2B</v>
      </c>
      <c r="C342" s="3" t="str">
        <f>VLOOKUP(A342, '[1]XGV Data'!$C$2:$K$359,3, FALSE)</f>
        <v>3/8"-16UNC-2B STD. FINISHED TYPE STEEL;ZINC PLATED;</v>
      </c>
      <c r="D342" s="3" t="s">
        <v>6</v>
      </c>
      <c r="E342" s="10" t="s">
        <v>366</v>
      </c>
    </row>
    <row r="343" spans="1:5" x14ac:dyDescent="0.3">
      <c r="A343" s="3" t="s">
        <v>367</v>
      </c>
      <c r="B343" s="3" t="str">
        <f>VLOOKUP(A343,'[1]XGV Data'!$C$2:$M$330,2,FALSE)</f>
        <v>CAPSCREW HEX HD7/16-14NCX1-1/4</v>
      </c>
      <c r="C343" s="3" t="str">
        <f>VLOOKUP(A343, '[1]XGV Data'!$C$2:$K$359,3, FALSE)</f>
        <v>CAPSCREW, HEX. HEAD 7/16" DIA;14 UNC- 2A X 1-1/4" LG. STEEL;DIMENSIONS TO CONFORM TO ANSI STANDARD B18.2.1;LOW CARBON STEEL,SAE GRADE 2.</v>
      </c>
      <c r="D343" s="3" t="s">
        <v>42</v>
      </c>
      <c r="E343" s="10" t="s">
        <v>368</v>
      </c>
    </row>
    <row r="344" spans="1:5" x14ac:dyDescent="0.3">
      <c r="A344" s="8" t="s">
        <v>1045</v>
      </c>
      <c r="B344" s="5" t="s">
        <v>1046</v>
      </c>
      <c r="C344" s="6" t="s">
        <v>1047</v>
      </c>
      <c r="D344" s="6"/>
      <c r="E344" s="6"/>
    </row>
    <row r="345" spans="1:5" x14ac:dyDescent="0.3">
      <c r="A345" s="3" t="s">
        <v>369</v>
      </c>
      <c r="B345" s="3" t="str">
        <f>VLOOKUP(A345,'[1]XGV Data'!$C$2:$M$330,2,FALSE)</f>
        <v>NUT HEX LGT    7/16-20UNF-2B</v>
      </c>
      <c r="C345" s="3" t="str">
        <f>VLOOKUP(A345, '[1]XGV Data'!$C$2:$K$359,3, FALSE)</f>
        <v>NUT, HEXAGON; 7/16" - 20 UNF-2B AMERICAN STANDARD;LIGHT SEMI-FINISHED - STAINLESS STEEL TYPE #316;</v>
      </c>
      <c r="D345" s="3" t="s">
        <v>6</v>
      </c>
      <c r="E345" s="10" t="s">
        <v>370</v>
      </c>
    </row>
    <row r="346" spans="1:5" x14ac:dyDescent="0.3">
      <c r="A346" s="8" t="s">
        <v>369</v>
      </c>
      <c r="B346" s="5" t="s">
        <v>1048</v>
      </c>
      <c r="C346" s="6" t="s">
        <v>1049</v>
      </c>
      <c r="D346" s="6" t="s">
        <v>648</v>
      </c>
      <c r="E346" s="7" t="s">
        <v>1050</v>
      </c>
    </row>
    <row r="347" spans="1:5" ht="28.8" x14ac:dyDescent="0.3">
      <c r="A347" s="8" t="s">
        <v>1051</v>
      </c>
      <c r="B347" s="5" t="s">
        <v>1052</v>
      </c>
      <c r="C347" s="6" t="s">
        <v>1053</v>
      </c>
      <c r="D347" s="6" t="s">
        <v>437</v>
      </c>
      <c r="E347" s="7" t="s">
        <v>1054</v>
      </c>
    </row>
    <row r="348" spans="1:5" ht="28.8" x14ac:dyDescent="0.3">
      <c r="A348" s="8" t="s">
        <v>1055</v>
      </c>
      <c r="B348" s="5" t="s">
        <v>1056</v>
      </c>
      <c r="C348" s="6" t="s">
        <v>1057</v>
      </c>
      <c r="D348" s="6" t="s">
        <v>437</v>
      </c>
      <c r="E348" s="7" t="s">
        <v>1058</v>
      </c>
    </row>
    <row r="349" spans="1:5" ht="28.8" x14ac:dyDescent="0.3">
      <c r="A349" s="8" t="s">
        <v>1059</v>
      </c>
      <c r="B349" s="5" t="s">
        <v>1060</v>
      </c>
      <c r="C349" s="6" t="s">
        <v>1061</v>
      </c>
      <c r="D349" s="6" t="s">
        <v>1062</v>
      </c>
      <c r="E349" s="7" t="s">
        <v>1063</v>
      </c>
    </row>
    <row r="350" spans="1:5" ht="28.8" x14ac:dyDescent="0.3">
      <c r="A350" s="8" t="s">
        <v>1064</v>
      </c>
      <c r="B350" s="5" t="s">
        <v>1065</v>
      </c>
      <c r="C350" s="6" t="s">
        <v>1066</v>
      </c>
      <c r="D350" s="6" t="s">
        <v>648</v>
      </c>
      <c r="E350" s="7" t="s">
        <v>1067</v>
      </c>
    </row>
    <row r="351" spans="1:5" ht="28.8" x14ac:dyDescent="0.3">
      <c r="A351" s="8" t="s">
        <v>1068</v>
      </c>
      <c r="B351" s="5" t="s">
        <v>1069</v>
      </c>
      <c r="C351" s="6" t="s">
        <v>1070</v>
      </c>
      <c r="D351" s="6" t="s">
        <v>648</v>
      </c>
      <c r="E351" s="7" t="s">
        <v>1067</v>
      </c>
    </row>
    <row r="352" spans="1:5" ht="28.8" x14ac:dyDescent="0.3">
      <c r="A352" s="8" t="s">
        <v>1071</v>
      </c>
      <c r="B352" s="5" t="s">
        <v>1072</v>
      </c>
      <c r="C352" s="6" t="s">
        <v>1073</v>
      </c>
      <c r="D352" s="6" t="s">
        <v>648</v>
      </c>
      <c r="E352" s="7" t="s">
        <v>1074</v>
      </c>
    </row>
    <row r="353" spans="1:5" ht="28.8" x14ac:dyDescent="0.3">
      <c r="A353" s="8" t="s">
        <v>1071</v>
      </c>
      <c r="B353" s="5" t="s">
        <v>1072</v>
      </c>
      <c r="C353" s="6" t="s">
        <v>1073</v>
      </c>
      <c r="D353" s="6" t="s">
        <v>648</v>
      </c>
      <c r="E353" s="7" t="s">
        <v>1074</v>
      </c>
    </row>
    <row r="354" spans="1:5" x14ac:dyDescent="0.3">
      <c r="A354" s="8" t="s">
        <v>1075</v>
      </c>
      <c r="B354" s="5" t="s">
        <v>1076</v>
      </c>
      <c r="C354" s="6" t="s">
        <v>1077</v>
      </c>
      <c r="D354" s="12" t="s">
        <v>648</v>
      </c>
      <c r="E354" s="7" t="s">
        <v>1078</v>
      </c>
    </row>
    <row r="355" spans="1:5" ht="28.8" x14ac:dyDescent="0.3">
      <c r="A355" s="8" t="s">
        <v>1079</v>
      </c>
      <c r="B355" s="5" t="s">
        <v>1080</v>
      </c>
      <c r="C355" s="6" t="s">
        <v>1081</v>
      </c>
      <c r="D355" s="12" t="s">
        <v>1062</v>
      </c>
      <c r="E355" s="7" t="s">
        <v>1082</v>
      </c>
    </row>
    <row r="356" spans="1:5" x14ac:dyDescent="0.3">
      <c r="A356" s="8" t="s">
        <v>1083</v>
      </c>
      <c r="B356" s="5" t="s">
        <v>1084</v>
      </c>
      <c r="C356" s="6" t="s">
        <v>1085</v>
      </c>
      <c r="D356" s="6"/>
      <c r="E356" s="6"/>
    </row>
    <row r="357" spans="1:5" ht="28.8" x14ac:dyDescent="0.3">
      <c r="A357" s="8" t="s">
        <v>1086</v>
      </c>
      <c r="B357" s="5" t="s">
        <v>1087</v>
      </c>
      <c r="C357" s="6" t="s">
        <v>1088</v>
      </c>
      <c r="D357" s="6" t="s">
        <v>437</v>
      </c>
      <c r="E357" s="7" t="s">
        <v>1089</v>
      </c>
    </row>
    <row r="358" spans="1:5" x14ac:dyDescent="0.3">
      <c r="A358" s="8" t="s">
        <v>1090</v>
      </c>
      <c r="B358" s="5" t="s">
        <v>1091</v>
      </c>
      <c r="C358" s="5"/>
      <c r="D358" s="12"/>
      <c r="E358" s="6"/>
    </row>
    <row r="359" spans="1:5" x14ac:dyDescent="0.3">
      <c r="A359" s="3" t="s">
        <v>371</v>
      </c>
      <c r="B359" s="3" t="str">
        <f>VLOOKUP(A359,'[1]XGV Data'!$C$2:$M$330,2,FALSE)</f>
        <v>FITTING,GREASE</v>
      </c>
      <c r="C359" s="3" t="str">
        <f>VLOOKUP(A359, '[1]XGV Data'!$C$2:$K$359,3, FALSE)</f>
        <v>GREASE FITTING;STRAIGHT DRIVE TYPE FOR 3/16" DIA. HOLE;(3/16 STR X .215 SHANK X .50"OA W/BALL RD DRIVE FITTING STL ZP ROHS);</v>
      </c>
      <c r="D359" s="3" t="s">
        <v>372</v>
      </c>
      <c r="E359" s="10" t="s">
        <v>373</v>
      </c>
    </row>
    <row r="360" spans="1:5" x14ac:dyDescent="0.3">
      <c r="A360" s="3" t="s">
        <v>374</v>
      </c>
      <c r="B360" s="3" t="str">
        <f>VLOOKUP(A360,'[1]XGV Data'!$C$2:$M$330,2,FALSE)</f>
        <v>SET SCREW</v>
      </c>
      <c r="C360" s="3" t="str">
        <f>VLOOKUP(A360, '[1]XGV Data'!$C$2:$K$359,3, FALSE)</f>
        <v>SET SCREW #8-36UNC X .188" LONG, ALLOY STEEL;SOCKET HEAD SET SCREWS;HOLO-KNURL POINT;</v>
      </c>
      <c r="D360" s="3" t="s">
        <v>42</v>
      </c>
      <c r="E360" s="10" t="s">
        <v>423</v>
      </c>
    </row>
    <row r="361" spans="1:5" x14ac:dyDescent="0.3">
      <c r="A361" s="3" t="s">
        <v>375</v>
      </c>
      <c r="B361" s="3" t="str">
        <f>VLOOKUP(A361,'[1]XGV Data'!$C$2:$M$330,2,FALSE)</f>
        <v>SET SCREW .25-28UNF X .25"LG.</v>
      </c>
      <c r="C361" s="3" t="str">
        <f>VLOOKUP(A361, '[1]XGV Data'!$C$2:$K$359,3, FALSE)</f>
        <v>SET SCREW .25-28UNF X .25" LONG, ALLOY STEEL;SOCKET HEAD SET SCREWS;HOLO-KNURL POINT;</v>
      </c>
      <c r="D361" s="3" t="s">
        <v>42</v>
      </c>
      <c r="E361" s="10" t="s">
        <v>424</v>
      </c>
    </row>
    <row r="362" spans="1:5" x14ac:dyDescent="0.3">
      <c r="A362" s="8" t="s">
        <v>1092</v>
      </c>
      <c r="B362" s="5" t="s">
        <v>848</v>
      </c>
      <c r="C362" s="6" t="s">
        <v>1093</v>
      </c>
      <c r="D362" s="6" t="s">
        <v>699</v>
      </c>
      <c r="E362" s="7" t="s">
        <v>1094</v>
      </c>
    </row>
    <row r="363" spans="1:5" x14ac:dyDescent="0.3">
      <c r="A363" s="8" t="s">
        <v>1095</v>
      </c>
      <c r="B363" s="5" t="s">
        <v>848</v>
      </c>
      <c r="C363" s="6" t="s">
        <v>1096</v>
      </c>
      <c r="D363" s="6" t="s">
        <v>699</v>
      </c>
      <c r="E363" s="7" t="s">
        <v>1097</v>
      </c>
    </row>
    <row r="364" spans="1:5" x14ac:dyDescent="0.3">
      <c r="A364" s="3" t="s">
        <v>376</v>
      </c>
      <c r="B364" s="3" t="str">
        <f>VLOOKUP(A364,'[1]XGV Data'!$C$2:$M$330,2,FALSE)</f>
        <v>CAPSCREW HEX HD5/16-18NCX2.75"</v>
      </c>
      <c r="C364" s="3" t="str">
        <f>VLOOKUP(A364, '[1]XGV Data'!$C$2:$K$359,3, FALSE)</f>
        <v>CAPSCREW, HEX HD 5/16" DIA 18 UNC 2A X 2.75" LG. DIMENSIONS TO CONFORM TO ANSI STANDARD B18.2.1;LOW CARBON STEEL, SAE GRADE 2,ZINC PLATED.</v>
      </c>
      <c r="D364" s="3" t="s">
        <v>42</v>
      </c>
      <c r="E364" s="10" t="s">
        <v>377</v>
      </c>
    </row>
    <row r="365" spans="1:5" x14ac:dyDescent="0.3">
      <c r="A365" s="3" t="s">
        <v>378</v>
      </c>
      <c r="B365" s="3" t="str">
        <f>VLOOKUP(A365,'[1]XGV Data'!$C$2:$M$330,2,FALSE)</f>
        <v>CAPSCREW HEX HD5/16-18NCX3"</v>
      </c>
      <c r="C365" s="3" t="str">
        <f>VLOOKUP(A365, '[1]XGV Data'!$C$2:$K$359,3, FALSE)</f>
        <v>CAPSCREW, HEX HD 5/16" DIA 18 UNC 2A X 3" LG. DIMENSIONS TO CONFORM TO ANSI STANDARD B18.2.1;LOW CARBON STEEL, SAE GRADE 2,ZINC PLATED.</v>
      </c>
      <c r="D365" s="3" t="s">
        <v>42</v>
      </c>
      <c r="E365" s="10" t="s">
        <v>379</v>
      </c>
    </row>
    <row r="366" spans="1:5" x14ac:dyDescent="0.3">
      <c r="A366" s="3" t="s">
        <v>380</v>
      </c>
      <c r="B366" s="3" t="str">
        <f>VLOOKUP(A366,'[1]XGV Data'!$C$2:$M$330,2,FALSE)</f>
        <v>SNAP RING      1.25" SHAFT</v>
      </c>
      <c r="C366" s="3" t="str">
        <f>VLOOKUP(A366, '[1]XGV Data'!$C$2:$K$359,3, FALSE)</f>
        <v>SNAP RING EXTERNAL TYPE, 1.25" SHAFT;DIA. 302 ST. STL.</v>
      </c>
      <c r="D366" s="3" t="s">
        <v>381</v>
      </c>
      <c r="E366" s="10" t="s">
        <v>382</v>
      </c>
    </row>
    <row r="367" spans="1:5" x14ac:dyDescent="0.3">
      <c r="A367" s="3" t="s">
        <v>383</v>
      </c>
      <c r="B367" s="3" t="str">
        <f>VLOOKUP(A367,'[1]XGV Data'!$C$2:$M$330,2,FALSE)</f>
        <v>SNAP RING      1.625" SHAFT</v>
      </c>
      <c r="C367" s="3" t="str">
        <f>VLOOKUP(A367, '[1]XGV Data'!$C$2:$K$359,3, FALSE)</f>
        <v>SNAP RING EXTERNAL TYPE, 1.625" SHAFT;DIA. 302 ST. STL.</v>
      </c>
      <c r="D367" s="3" t="s">
        <v>381</v>
      </c>
      <c r="E367" s="10" t="s">
        <v>384</v>
      </c>
    </row>
    <row r="368" spans="1:5" x14ac:dyDescent="0.3">
      <c r="A368" s="3" t="s">
        <v>385</v>
      </c>
      <c r="B368" s="3" t="str">
        <f>VLOOKUP(A368,'[1]XGV Data'!$C$2:$M$330,2,FALSE)</f>
        <v>SNAP RING  2.125" SHAFT</v>
      </c>
      <c r="C368" s="3" t="str">
        <f>VLOOKUP(A368, '[1]XGV Data'!$C$2:$K$359,3, FALSE)</f>
        <v>SNAP RING EXTERNAL TYPE, 2.125" SHAFT;DIA. 302 ST. STL.</v>
      </c>
      <c r="D368" s="3" t="s">
        <v>381</v>
      </c>
      <c r="E368" s="10" t="s">
        <v>386</v>
      </c>
    </row>
    <row r="369" spans="1:5" x14ac:dyDescent="0.3">
      <c r="A369" s="8" t="s">
        <v>1098</v>
      </c>
      <c r="B369" s="5" t="s">
        <v>1099</v>
      </c>
      <c r="C369" s="6" t="s">
        <v>1100</v>
      </c>
      <c r="D369" s="6" t="s">
        <v>699</v>
      </c>
      <c r="E369" s="7" t="s">
        <v>1101</v>
      </c>
    </row>
    <row r="370" spans="1:5" x14ac:dyDescent="0.3">
      <c r="A370" s="8" t="s">
        <v>1102</v>
      </c>
      <c r="B370" s="5" t="s">
        <v>1103</v>
      </c>
      <c r="C370" s="6" t="s">
        <v>1104</v>
      </c>
      <c r="D370" s="6" t="s">
        <v>437</v>
      </c>
      <c r="E370" s="7" t="s">
        <v>1105</v>
      </c>
    </row>
    <row r="371" spans="1:5" x14ac:dyDescent="0.3">
      <c r="A371" s="3" t="s">
        <v>387</v>
      </c>
      <c r="B371" s="3" t="str">
        <f>VLOOKUP(A371,'[1]XGV Data'!$C$2:$M$330,2,FALSE)</f>
        <v>LOCKWASHER BRG</v>
      </c>
      <c r="C371" s="3" t="str">
        <f>VLOOKUP(A371, '[1]XGV Data'!$C$2:$K$359,3, FALSE)</f>
        <v>LOCKWASHER; BEARING, W-11 FOR BALL &amp; ROLLER;BEARINGS; 1/8" X 5/16" KEYWAY REQ'D - .063" TK. EXTERNAL TOOTH; BEARING SIZE 11; STEEL;(WILL MEET AFBMA STANDARDS).</v>
      </c>
      <c r="D371" s="3" t="s">
        <v>98</v>
      </c>
      <c r="E371" s="10" t="s">
        <v>388</v>
      </c>
    </row>
    <row r="372" spans="1:5" ht="28.8" x14ac:dyDescent="0.3">
      <c r="A372" s="8" t="s">
        <v>387</v>
      </c>
      <c r="B372" s="5" t="s">
        <v>1106</v>
      </c>
      <c r="C372" s="6" t="s">
        <v>1107</v>
      </c>
      <c r="D372" s="12" t="s">
        <v>699</v>
      </c>
      <c r="E372" s="7" t="s">
        <v>1108</v>
      </c>
    </row>
    <row r="373" spans="1:5" x14ac:dyDescent="0.3">
      <c r="A373" s="3" t="s">
        <v>389</v>
      </c>
      <c r="B373" s="3" t="str">
        <f>VLOOKUP(A373,'[1]XGV Data'!$C$2:$M$330,2,FALSE)</f>
        <v>SNAP RING      2-5/32 SHAFT</v>
      </c>
      <c r="C373" s="3" t="str">
        <f>VLOOKUP(A373, '[1]XGV Data'!$C$2:$K$359,3, FALSE)</f>
        <v>SNAP RING EXTERNAL TYPE, BEVELED, 2-5/32" SHAFT;DIA. CARBON SPRING STEEL-SAE 1075;</v>
      </c>
      <c r="D373" s="3" t="s">
        <v>349</v>
      </c>
      <c r="E373" s="10" t="s">
        <v>390</v>
      </c>
    </row>
    <row r="374" spans="1:5" x14ac:dyDescent="0.3">
      <c r="A374" s="3" t="s">
        <v>392</v>
      </c>
      <c r="B374" s="3" t="str">
        <f>VLOOKUP(A374,'[1]XGV Data'!$C$2:$M$330,2,FALSE)</f>
        <v>NIPPLE STD 1/4NPT X 3"LG</v>
      </c>
      <c r="C374" s="3" t="str">
        <f>VLOOKUP(A374, '[1]XGV Data'!$C$2:$K$359,3, FALSE)</f>
        <v>NIPPLE PIPE STANDARD R.H. 1/4"NPT X 3" LG. WROUGHT STEEL BLACK.</v>
      </c>
      <c r="D374" s="3" t="s">
        <v>24</v>
      </c>
      <c r="E374" s="10" t="s">
        <v>393</v>
      </c>
    </row>
    <row r="375" spans="1:5" x14ac:dyDescent="0.3">
      <c r="A375" s="3" t="s">
        <v>394</v>
      </c>
      <c r="B375" s="3" t="str">
        <f>VLOOKUP(A375,'[1]XGV Data'!$C$2:$M$330,2,FALSE)</f>
        <v>CAPSCREW HEX HD3/8-16NCX5/8</v>
      </c>
      <c r="C375" s="3" t="str">
        <f>VLOOKUP(A375, '[1]XGV Data'!$C$2:$K$359,3, FALSE)</f>
        <v>CAPSCREW, HEX HD. 3/8" DIA 16 UNC - 2A X 5/8" LG. DIMENSIONS TO CONFORM TO ANSI STANDARD B18.2.1;LOW CARBON STEEL, SAE GRADE 2.</v>
      </c>
      <c r="D375" s="3" t="s">
        <v>42</v>
      </c>
      <c r="E375" s="10" t="s">
        <v>395</v>
      </c>
    </row>
    <row r="376" spans="1:5" x14ac:dyDescent="0.3">
      <c r="A376" s="3" t="s">
        <v>396</v>
      </c>
      <c r="B376" s="3" t="str">
        <f>VLOOKUP(A376,'[1]XGV Data'!$C$2:$M$330,2,FALSE)</f>
        <v>TEE, STRAIGHT PIPE 1/4"NPT</v>
      </c>
      <c r="C376" s="3" t="str">
        <f>VLOOKUP(A376, '[1]XGV Data'!$C$2:$K$359,3, FALSE)</f>
        <v>1/4"NPT X 1/4"NPT X 1/4"NPT, STRAIGHT. PER ANSI B16.3, 150# STEAM BANDED-MALLEABLE IRON, BLACK.</v>
      </c>
      <c r="D376" s="3" t="s">
        <v>6</v>
      </c>
      <c r="E376" s="10" t="s">
        <v>397</v>
      </c>
    </row>
    <row r="377" spans="1:5" x14ac:dyDescent="0.3">
      <c r="A377" s="3" t="s">
        <v>398</v>
      </c>
      <c r="B377" s="3" t="str">
        <f>VLOOKUP(A377,'[1]XGV Data'!$C$2:$M$330,2,FALSE)</f>
        <v>CONN MALE COMP  3/8OD X 1/4MPT</v>
      </c>
      <c r="C377" s="3" t="str">
        <f>VLOOKUP(A377, '[1]XGV Data'!$C$2:$K$359,3, FALSE)</f>
        <v>CONNECTOR; MALE (COMP'R.);3/8" O.D. OF TUBE X 1/4" MPT;EXTRUDED BRASS ROD;</v>
      </c>
      <c r="D377" s="3" t="s">
        <v>199</v>
      </c>
      <c r="E377" s="10" t="s">
        <v>399</v>
      </c>
    </row>
    <row r="378" spans="1:5" x14ac:dyDescent="0.3">
      <c r="A378" s="8" t="s">
        <v>1109</v>
      </c>
      <c r="B378" s="5" t="s">
        <v>1110</v>
      </c>
      <c r="C378" s="6" t="s">
        <v>1111</v>
      </c>
      <c r="D378" s="6" t="s">
        <v>450</v>
      </c>
      <c r="E378" s="7" t="s">
        <v>1112</v>
      </c>
    </row>
    <row r="379" spans="1:5" x14ac:dyDescent="0.3">
      <c r="A379" s="3" t="s">
        <v>400</v>
      </c>
      <c r="B379" s="3" t="str">
        <f>VLOOKUP(A379,'[1]XGV Data'!$C$2:$M$330,2,FALSE)</f>
        <v>NIPPLE STD     1/4NPT X 7/8 LG</v>
      </c>
      <c r="C379" s="3" t="str">
        <f>VLOOKUP(A379, '[1]XGV Data'!$C$2:$K$359,3, FALSE)</f>
        <v>NIPPLE PIPE STD. R.H. CLOSE TYPE,1/4"NPT X 7/8"LG;WROUGHT STEEL,BLACK.</v>
      </c>
      <c r="D379" s="3" t="s">
        <v>24</v>
      </c>
      <c r="E379" s="10" t="s">
        <v>401</v>
      </c>
    </row>
    <row r="380" spans="1:5" x14ac:dyDescent="0.3">
      <c r="A380" s="8" t="s">
        <v>1113</v>
      </c>
      <c r="B380" s="5" t="s">
        <v>1114</v>
      </c>
      <c r="C380" s="6" t="s">
        <v>908</v>
      </c>
      <c r="D380" s="6" t="s">
        <v>437</v>
      </c>
      <c r="E380" s="7" t="s">
        <v>1115</v>
      </c>
    </row>
    <row r="381" spans="1:5" x14ac:dyDescent="0.3">
      <c r="A381" s="3" t="s">
        <v>402</v>
      </c>
      <c r="B381" s="3" t="str">
        <f>VLOOKUP(A381,'[1]XGV Data'!$C$2:$M$330,2,FALSE)</f>
        <v>RETAINER RING</v>
      </c>
      <c r="C381" s="3" t="str">
        <f>VLOOKUP(A381, '[1]XGV Data'!$C$2:$K$359,3, FALSE)</f>
        <v>RETAINER RING (EXTERNAL) STEEL ZINC PLATED;DICHROMATE DIP.</v>
      </c>
      <c r="D381" s="3" t="s">
        <v>243</v>
      </c>
      <c r="E381" s="10" t="s">
        <v>403</v>
      </c>
    </row>
    <row r="382" spans="1:5" x14ac:dyDescent="0.3">
      <c r="A382" s="8" t="s">
        <v>402</v>
      </c>
      <c r="B382" s="5" t="s">
        <v>1116</v>
      </c>
      <c r="C382" s="6" t="s">
        <v>1117</v>
      </c>
      <c r="D382" s="12" t="s">
        <v>117</v>
      </c>
      <c r="E382" s="7" t="s">
        <v>1118</v>
      </c>
    </row>
    <row r="383" spans="1:5" x14ac:dyDescent="0.3">
      <c r="A383" s="3" t="s">
        <v>404</v>
      </c>
      <c r="B383" s="3" t="str">
        <f>VLOOKUP(A383,'[1]XGV Data'!$C$2:$M$330,2,FALSE)</f>
        <v>RETAINER RING</v>
      </c>
      <c r="C383" s="3" t="str">
        <f>VLOOKUP(A383, '[1]XGV Data'!$C$2:$K$359,3, FALSE)</f>
        <v>RETAINER RING, (EXTERNAL) STEEL, ZINC PLATED;DICHROMATE DIP.</v>
      </c>
      <c r="D383" s="3" t="s">
        <v>42</v>
      </c>
      <c r="E383" s="10" t="s">
        <v>405</v>
      </c>
    </row>
    <row r="384" spans="1:5" x14ac:dyDescent="0.3">
      <c r="A384" s="3" t="s">
        <v>406</v>
      </c>
      <c r="B384" s="3" t="str">
        <f>VLOOKUP(A384,'[1]XGV Data'!$C$2:$M$330,2,FALSE)</f>
        <v>RETAINER RING</v>
      </c>
      <c r="C384" s="3" t="str">
        <f>VLOOKUP(A384, '[1]XGV Data'!$C$2:$K$359,3, FALSE)</f>
        <v>RETAINER RING (EXTERNAL) STEEL, ZINC PLATED;DICHROMATE DIP.</v>
      </c>
      <c r="D384" s="3" t="s">
        <v>243</v>
      </c>
      <c r="E384" s="10" t="s">
        <v>407</v>
      </c>
    </row>
    <row r="385" spans="1:5" x14ac:dyDescent="0.3">
      <c r="A385" s="3" t="s">
        <v>408</v>
      </c>
      <c r="B385" s="3" t="str">
        <f>VLOOKUP(A385,'[1]XGV Data'!$C$2:$M$330,2,FALSE)</f>
        <v>RETAINER RING</v>
      </c>
      <c r="C385" s="3" t="str">
        <f>VLOOKUP(A385, '[1]XGV Data'!$C$2:$K$359,3, FALSE)</f>
        <v>RETAINER RING (EXTERNAL) STEEL, ZINC PLATE;DICHROMATE DIP.</v>
      </c>
      <c r="D385" s="3" t="s">
        <v>243</v>
      </c>
      <c r="E385" s="10" t="s">
        <v>409</v>
      </c>
    </row>
    <row r="386" spans="1:5" x14ac:dyDescent="0.3">
      <c r="A386" s="8" t="s">
        <v>408</v>
      </c>
      <c r="B386" s="5" t="s">
        <v>1116</v>
      </c>
      <c r="C386" s="6" t="s">
        <v>1119</v>
      </c>
      <c r="D386" s="12" t="s">
        <v>117</v>
      </c>
      <c r="E386" s="7" t="s">
        <v>1120</v>
      </c>
    </row>
    <row r="387" spans="1:5" ht="14.25" customHeight="1" x14ac:dyDescent="0.3">
      <c r="A387" s="3" t="s">
        <v>410</v>
      </c>
      <c r="B387" s="3" t="str">
        <f>VLOOKUP(A387,'[1]XGV Data'!$C$2:$M$330,2,FALSE)</f>
        <v>RETAINER RING</v>
      </c>
      <c r="C387" s="3" t="str">
        <f>VLOOKUP(A387, '[1]XGV Data'!$C$2:$K$359,3, FALSE)</f>
        <v>RETAINER RING (EXTERNAL) STEEL, ZINC PLATED;DICHROMATE DIP.</v>
      </c>
      <c r="D387" s="3" t="s">
        <v>243</v>
      </c>
      <c r="E387" s="10" t="s">
        <v>411</v>
      </c>
    </row>
    <row r="388" spans="1:5" x14ac:dyDescent="0.3">
      <c r="A388" s="8" t="s">
        <v>1121</v>
      </c>
      <c r="B388" s="5" t="s">
        <v>1122</v>
      </c>
      <c r="C388" s="6" t="s">
        <v>1123</v>
      </c>
      <c r="D388" s="6" t="s">
        <v>648</v>
      </c>
      <c r="E388" s="7" t="s">
        <v>1124</v>
      </c>
    </row>
    <row r="389" spans="1:5" x14ac:dyDescent="0.3">
      <c r="A389" s="5" t="s">
        <v>1125</v>
      </c>
      <c r="B389" s="5" t="s">
        <v>1126</v>
      </c>
      <c r="C389" s="6" t="s">
        <v>1127</v>
      </c>
      <c r="D389" s="6" t="s">
        <v>1128</v>
      </c>
      <c r="E389" s="7" t="s">
        <v>1129</v>
      </c>
    </row>
  </sheetData>
  <sortState xmlns:xlrd2="http://schemas.microsoft.com/office/spreadsheetml/2017/richdata2" ref="A4:E389">
    <sortCondition ref="A3:A389"/>
  </sortState>
  <hyperlinks>
    <hyperlink ref="E62" r:id="rId1" xr:uid="{6B54B8CE-3794-46AF-9731-5C17CAC52717}"/>
    <hyperlink ref="E3" r:id="rId2" xr:uid="{0B2A01D1-D720-4B93-B9DD-16062F09B09E}"/>
    <hyperlink ref="E359" r:id="rId3" xr:uid="{92BB212B-D86C-4EC3-A37E-D47209A5ED69}"/>
    <hyperlink ref="E60" r:id="rId4" xr:uid="{102BE7DE-EB95-425D-8A05-396C03AB409C}"/>
    <hyperlink ref="E27" r:id="rId5" xr:uid="{79B21F30-1950-4E49-ACB5-053137FE1C40}"/>
    <hyperlink ref="E190" r:id="rId6" display="https://www.fastenal.com/product/Fasteners/Nuts/Hex%2520Nuts?Category%20Attributes.Finish=Zinc&amp;Category%20Attributes.Type=Hex%20Nut&amp;Category%20Attributes.Dia/Thread%20Size=1%2F2%22-13&amp;showAll=Category%20Attributes.Finish,Category%20Attributes.Type,Category%20Attributes.Dia/Thread%20Size&amp;categoryId=608621&amp;productFamilyId=30629&amp;sortBy=Best%20Match&amp;includeSuggestedFilters=false" xr:uid="{7426CA5F-95A8-4052-8989-65B95EFA2C1E}"/>
    <hyperlink ref="E219" r:id="rId7" xr:uid="{5FECB211-53F3-44CB-A1AC-4318EDC45295}"/>
    <hyperlink ref="E218" r:id="rId8" xr:uid="{8890C8A8-E6B4-470C-84CD-3C935F7B6C81}"/>
    <hyperlink ref="E119" r:id="rId9" xr:uid="{B38AC93B-0E90-4144-AE52-27F7C3DA83DA}"/>
    <hyperlink ref="E154" r:id="rId10" xr:uid="{C0C1B44D-DEAA-4B66-A7D1-9C5DD84B6004}"/>
    <hyperlink ref="E153" r:id="rId11" xr:uid="{2D71B5C2-E72D-4B10-8BB1-7E5528CF78CE}"/>
    <hyperlink ref="E155" r:id="rId12" xr:uid="{54EE2D91-7303-415E-A4E4-2475CA8DDB55}"/>
    <hyperlink ref="E156" r:id="rId13" xr:uid="{4A820F4D-8C9B-4090-934C-4175AB4C292D}"/>
    <hyperlink ref="E213" r:id="rId14" xr:uid="{3750B99A-967C-4F39-B381-397781CEF49B}"/>
    <hyperlink ref="E214" r:id="rId15" xr:uid="{B49B3CE3-D42B-4B16-8BD2-E53AF418C1EF}"/>
    <hyperlink ref="E174" r:id="rId16" xr:uid="{EAAA482C-4EA8-46D5-8849-319A5F19D049}"/>
    <hyperlink ref="E220" r:id="rId17" xr:uid="{ECFE71A6-5359-4043-8601-3BFCE6AB9409}"/>
    <hyperlink ref="E221" r:id="rId18" xr:uid="{2F02D714-9BDF-437F-838F-5622427938AE}"/>
    <hyperlink ref="E145" r:id="rId19" xr:uid="{65ED113E-FFAC-4C9B-9EDF-6AAD6B447474}"/>
    <hyperlink ref="E146" r:id="rId20" xr:uid="{B6E27EC1-C0A5-4168-81D4-5B031EF8A17A}"/>
    <hyperlink ref="E242" r:id="rId21" xr:uid="{5C9F5E32-D730-47AE-8072-6BB06579C628}"/>
    <hyperlink ref="E262" r:id="rId22" xr:uid="{7C49F18C-526B-48B3-B1CB-D9C2BC1112B7}"/>
    <hyperlink ref="E263" r:id="rId23" display="https://www.fastenal.com/product/Fasteners/Nuts/Hex%2520Nuts?Category%20Attributes.Dia/Thread%20Size=7%2F16%22-14&amp;Category%20Attributes.Finish=Zinc&amp;Category%20Attributes.Type=Hex%20Nut&amp;showAll=Category%20Attributes.Dia/Thread%20Size,Category%20Attributes.Finish,Category%20Attributes.Type&amp;categoryId=608621&amp;productFamilyId=30629&amp;sortBy=Best%20Match&amp;includeSuggestedFilters=false" xr:uid="{18E2FA7E-AC94-4B05-8DC2-8EE7F677590E}"/>
    <hyperlink ref="E271" r:id="rId24" xr:uid="{9AE6EE10-7BDE-4371-818C-1B331C727B44}"/>
    <hyperlink ref="E28" r:id="rId25" xr:uid="{C7911A69-5E55-4EFF-8A74-C4D1DAF4C9AB}"/>
    <hyperlink ref="E45" r:id="rId26" xr:uid="{E795A700-B8F2-48B8-BD9D-BCA21CA116B2}"/>
    <hyperlink ref="E205" r:id="rId27" xr:uid="{69F90A37-6A38-4E6A-A24B-02AB205D63FE}"/>
    <hyperlink ref="E216" r:id="rId28" xr:uid="{BE0819B5-9F6C-4D65-948B-CD27EADDE93B}"/>
    <hyperlink ref="E290" r:id="rId29" xr:uid="{70372FD3-B0D9-46AA-AFC6-E2AD0518FD16}"/>
    <hyperlink ref="E294" r:id="rId30" xr:uid="{210C2672-5A7A-49E0-AF67-D755596BED5F}"/>
    <hyperlink ref="E217" r:id="rId31" xr:uid="{6F5906ED-7169-491F-A6D3-E43830663C40}"/>
    <hyperlink ref="E297" r:id="rId32" xr:uid="{0A99A70B-547D-42BB-938F-68AA8A3BE5E5}"/>
    <hyperlink ref="E298" r:id="rId33" xr:uid="{2CC3B33D-A2A8-4364-8189-A1118E1B103D}"/>
    <hyperlink ref="E300" r:id="rId34" xr:uid="{BE4AC866-809E-4F66-9FC5-B23BDF637D47}"/>
    <hyperlink ref="E304" r:id="rId35" display="https://www.fastenal.com/product/Fasteners/Nuts/Hex%2520Nuts?Category%20Attributes.Dia/Thread%20Size=5%2F16%22-18&amp;Category%20Attributes.Finish=Zinc&amp;Category%20Attributes.Type=Hex%20Nut&amp;showAll=Category%20Attributes.Dia/Thread%20Size,Category%20Attributes.Finish,Category%20Attributes.Type&amp;categoryId=608621&amp;sortBy=Best%20Match&amp;includeSuggestedFilters=false" xr:uid="{94741D3B-A5FA-471C-9EC9-19C3AA3306EE}"/>
    <hyperlink ref="E310" r:id="rId36" display="https://www.fastenal.com/product/Fasteners/Nuts/Hex%2520Nuts?query=NUT&amp;Category%20Attributes.Dia/Thread%20Size=7%2F16%22-20&amp;Category%20Attributes.Finish=Zinc&amp;Category%20Attributes.Type=Hex%20Nut&amp;showAll=Category%20Attributes.Finish,Category%20Attributes.Dia/Thread%20Size,Category%20Attributes.Type&amp;categoryId=608621&amp;productFamilyId=30629&amp;sortBy=Best%20Match&amp;includeSuggestedFilters=false" xr:uid="{A6F6A368-760B-443F-ABA1-B059FF214319}"/>
    <hyperlink ref="E342" r:id="rId37" display="https://www.fastenal.com/product/Fasteners/Nuts/Hex%2520Nuts?Category%20Attributes.Dia/Thread%20Size=3%2F8%22-16&amp;Category%20Attributes.Finish=Zinc&amp;Category%20Attributes.Type=Hex%20Nut&amp;showAll=Category%20Attributes.Dia/Thread%20Size,Category%20Attributes.Finish,Category%20Attributes.Type&amp;categoryId=608621&amp;productFamilyId=30629&amp;sortBy=Best%20Match&amp;includeSuggestedFilters=false" xr:uid="{DCD53D8E-A725-403C-BD9F-5E017B04ABF4}"/>
    <hyperlink ref="E345" r:id="rId38" display="https://www.fastenal.com/product/Fasteners/Nuts/Hex%2520Nuts?Category%20Attributes.Dia/Thread%20Size=7%2F16%22-20&amp;Category%20Attributes.Grade=316&amp;Category%20Attributes.Type=Hex%20Nut&amp;showAll=Category%20Attributes.Dia/Thread%20Size,Category%20Attributes.Grade,Category%20Attributes.Type&amp;categoryId=608621&amp;productFamilyId=30628&amp;sortBy=Best%20Match&amp;includeSuggestedFilters=false" xr:uid="{CE40D3C5-4220-416F-AB9E-18DE0E752179}"/>
    <hyperlink ref="E301" r:id="rId39" xr:uid="{7FF64CCA-78DE-49A5-B29A-E56C9EF87C41}"/>
    <hyperlink ref="E302" r:id="rId40" xr:uid="{2C28C2BD-CD6E-49B6-B865-4215D3CCA23F}"/>
    <hyperlink ref="E143" r:id="rId41" xr:uid="{2E3F9A11-7B95-417A-9AAA-FE4472BD850D}"/>
    <hyperlink ref="E147" r:id="rId42" xr:uid="{72F7F62E-DE69-4323-A4AE-A519E7AA514E}"/>
    <hyperlink ref="E148" r:id="rId43" xr:uid="{36C5269B-8F69-43EF-9780-96BAD82C5B66}"/>
    <hyperlink ref="E150" r:id="rId44" xr:uid="{836B94C1-B779-483E-B6D0-7BFEFB6E5DC3}"/>
    <hyperlink ref="E41" r:id="rId45" xr:uid="{FBE88FC0-8883-4E95-B906-FD7756A5D0C4}"/>
    <hyperlink ref="E210" r:id="rId46" xr:uid="{0C996855-7D5F-4D22-AA0E-153F5C22A31C}"/>
    <hyperlink ref="E237" r:id="rId47" xr:uid="{F299FC76-A0ED-4F24-B440-3477CB291F62}"/>
    <hyperlink ref="E240" r:id="rId48" xr:uid="{0384AE2A-E344-47D8-80AA-C6F42C5ED72A}"/>
    <hyperlink ref="E243" r:id="rId49" xr:uid="{6436CE25-C85B-4B49-AD3F-117C4E0C83D3}"/>
    <hyperlink ref="E50" r:id="rId50" xr:uid="{6021F2CB-EC9E-4F8D-9C17-26726C8BC47A}"/>
    <hyperlink ref="E371" r:id="rId51" xr:uid="{D9F2E037-C40A-4E8A-B0F0-327E325809D2}"/>
    <hyperlink ref="E52" r:id="rId52" xr:uid="{A8A7636D-AFCB-4174-B258-E37A679A8BF2}"/>
    <hyperlink ref="E279" r:id="rId53" xr:uid="{202541E7-9D51-4F7C-A6ED-D72532D896E5}"/>
    <hyperlink ref="E280" r:id="rId54" xr:uid="{1566015A-8F2D-41D3-AAC1-73C2B3DCD432}"/>
    <hyperlink ref="E285" r:id="rId55" xr:uid="{7EB0162A-1891-429F-85AF-FFEB55948FF0}"/>
    <hyperlink ref="E307" r:id="rId56" xr:uid="{7B2DF49D-E43B-4F51-87A3-9F3163516F3E}"/>
    <hyperlink ref="E332" r:id="rId57" xr:uid="{207EE8FA-89FA-4AA5-8E94-AFB38E2A1390}"/>
    <hyperlink ref="E200" r:id="rId58" xr:uid="{56127A3B-66C4-46FD-B03E-AC0AD6EA83F7}"/>
    <hyperlink ref="E270" r:id="rId59" xr:uid="{1C639F43-2987-4776-9C3F-491EF9E2F896}"/>
    <hyperlink ref="E313" r:id="rId60" xr:uid="{39CC97B8-506C-4D2A-A072-63D17604E116}"/>
    <hyperlink ref="E337" r:id="rId61" xr:uid="{99F0AB09-16C8-48B8-86A7-C74FF1E7C2EB}"/>
    <hyperlink ref="E23" r:id="rId62" xr:uid="{DC7B0120-CD23-4A05-B67B-11069F4EFB98}"/>
    <hyperlink ref="E25" r:id="rId63" xr:uid="{77F69ADA-04C4-4D5E-8621-3F08C9138425}"/>
    <hyperlink ref="E194" r:id="rId64" xr:uid="{637EF25C-BB9C-42E6-934E-9E8D628A026F}"/>
    <hyperlink ref="E236" r:id="rId65" xr:uid="{6FB501C0-75CE-4498-BA85-0571D46FD1E0}"/>
    <hyperlink ref="E259" r:id="rId66" xr:uid="{79EE0030-0BAB-459A-9DAA-047C53DB1EA8}"/>
    <hyperlink ref="E366" r:id="rId67" xr:uid="{BAD531D7-EF19-4611-A53A-2AD2C622B450}"/>
    <hyperlink ref="E367" r:id="rId68" xr:uid="{58E021EC-C6F1-4301-8F4B-ACB47AD4D210}"/>
    <hyperlink ref="E368" r:id="rId69" xr:uid="{B65E92B7-E352-4568-BDDA-F379CADBFAC0}"/>
    <hyperlink ref="E384" r:id="rId70" xr:uid="{2BD33134-D050-4E37-B47A-642A4F2D777A}"/>
    <hyperlink ref="E385" r:id="rId71" xr:uid="{B70D7276-349D-4E8C-B587-D07C0219BB77}"/>
    <hyperlink ref="E158" r:id="rId72" xr:uid="{38AD57AC-628C-4AB8-AB09-476A07AE7C48}"/>
    <hyperlink ref="E159" r:id="rId73" xr:uid="{D399F925-E37A-4AAC-9C59-5CF530F4FA30}"/>
    <hyperlink ref="E160" r:id="rId74" xr:uid="{13527781-A485-4980-9A29-369E4C88849B}"/>
    <hyperlink ref="E162" r:id="rId75" xr:uid="{BC363BBF-3CD7-415B-BAED-9140A9836BFD}"/>
    <hyperlink ref="E163" r:id="rId76" xr:uid="{4C01AA80-9E07-46D4-B6A9-37C8F206F5EC}"/>
    <hyperlink ref="E164" r:id="rId77" xr:uid="{86D9A8DC-E92E-4D9F-AE48-B9D78DA97C28}"/>
    <hyperlink ref="E165" r:id="rId78" xr:uid="{1AF2EE19-F69D-4CB0-AC23-3EF74A884E31}"/>
    <hyperlink ref="E167" r:id="rId79" xr:uid="{125E8A58-5BEA-402D-9D40-76F1206ED843}"/>
    <hyperlink ref="E168" r:id="rId80" xr:uid="{E85B2330-D217-496F-8F95-B33BC0C8DB5C}"/>
    <hyperlink ref="E71" r:id="rId81" xr:uid="{4278DD97-8FFA-4C1B-B6C1-56EEEF57DDCE}"/>
    <hyperlink ref="E193" r:id="rId82" xr:uid="{E593DCE0-FC26-40C8-B573-7161A1A672B6}"/>
    <hyperlink ref="E195" r:id="rId83" xr:uid="{A99825F8-1D54-4C6C-B02D-1F714AA1E8AF}"/>
    <hyperlink ref="E196" r:id="rId84" xr:uid="{ABA1E2F1-B802-4723-B906-293867DCEFCD}"/>
    <hyperlink ref="E198" r:id="rId85" xr:uid="{D08F5698-D42C-46D6-A447-CEC9B67F8EA7}"/>
    <hyperlink ref="E199" r:id="rId86" xr:uid="{06B6146C-5CB6-4121-B8AE-A95340524EBE}"/>
    <hyperlink ref="E206" r:id="rId87" xr:uid="{744A2755-17A6-4F63-B249-5E604A5F2275}"/>
    <hyperlink ref="E74" r:id="rId88" xr:uid="{2D58972B-60C9-4AA3-9991-8DC637E66AC1}"/>
    <hyperlink ref="E79" r:id="rId89" xr:uid="{E1D01DF2-32CD-4C04-B787-61DBA4B6A085}"/>
    <hyperlink ref="E81" r:id="rId90" xr:uid="{DE2FCD9D-07E7-429B-8213-DAC88864CD57}"/>
    <hyperlink ref="E91" r:id="rId91" xr:uid="{00320206-C501-416D-B439-0FE16B50849B}"/>
    <hyperlink ref="E92" r:id="rId92" xr:uid="{A7E4DA74-7AF7-49CF-866D-CE001162C328}"/>
    <hyperlink ref="E161" r:id="rId93" xr:uid="{9E63EFFD-ED09-45DB-A719-05F8BE609239}"/>
    <hyperlink ref="E226" r:id="rId94" xr:uid="{271A9B91-5EC7-4224-A2DD-80EB877F8ADF}"/>
    <hyperlink ref="E230" r:id="rId95" xr:uid="{A0D0603C-4ECD-448C-A442-41454750AFFE}"/>
    <hyperlink ref="E232" r:id="rId96" xr:uid="{45C842F0-CBE7-4A02-B3A2-6A81E1330633}"/>
    <hyperlink ref="E234" r:id="rId97" xr:uid="{A52E6709-7407-44BA-BB37-C75A6086BC8E}"/>
    <hyperlink ref="E260" r:id="rId98" xr:uid="{C1A6805A-7F3F-4730-86B4-18B9F235DFFF}"/>
    <hyperlink ref="E264" r:id="rId99" xr:uid="{48D1D433-B4F9-4B98-A1F8-3484B2D44C54}"/>
    <hyperlink ref="E266" r:id="rId100" xr:uid="{CEADC1A0-3E5F-44ED-9D29-035A6F018DEA}"/>
    <hyperlink ref="E13" r:id="rId101" xr:uid="{C4A239D9-A8A1-4C05-81AD-9BCAD7FE6BAA}"/>
    <hyperlink ref="E274" r:id="rId102" xr:uid="{3F76FCBC-9C8C-4C2C-98F0-8D5706E121C2}"/>
    <hyperlink ref="E286" r:id="rId103" xr:uid="{8923BE1B-0E68-44F4-A4C2-8671E31396AB}"/>
    <hyperlink ref="E287" r:id="rId104" xr:uid="{13C460DB-853F-45F1-96C2-8DF53DBD1526}"/>
    <hyperlink ref="E289" r:id="rId105" xr:uid="{1DBEAFC3-A602-40C2-BB77-9D4EFD1D4E17}"/>
    <hyperlink ref="E296" r:id="rId106" xr:uid="{C4DA2383-704B-474F-89D8-5B12DCEE1C22}"/>
    <hyperlink ref="E303" r:id="rId107" xr:uid="{AF7A0AE2-7D5B-457A-B2C1-13DAF6274248}"/>
    <hyperlink ref="E305" r:id="rId108" xr:uid="{7C2F15E0-DC56-4EEC-B7B1-1C8168A980AB}"/>
    <hyperlink ref="E182" r:id="rId109" xr:uid="{C04928E7-F6A2-43CB-AA92-333BF772208B}"/>
    <hyperlink ref="E183" r:id="rId110" xr:uid="{ABA7DE8C-278E-448D-935F-21B800947404}"/>
    <hyperlink ref="E308" r:id="rId111" display="https://www.grainger.com/category/fasteners/bolts-screws/hex-head-bolts/standard-hex-head-cap-screws?attrs=Fastener+Length%7C1-3%2F4+in~~Material+Grade%2FClass%7CGrade+5~~Material%7CSteel~~System+of+Measurement%7CInch~~Thread+Size%7C1%2F2%22-13&amp;filters=attrs" xr:uid="{0108E408-40FA-4B03-9D9D-5AF17FA80E3F}"/>
    <hyperlink ref="E184" r:id="rId112" xr:uid="{57D11422-5A75-4073-928C-7BE23E7946C2}"/>
    <hyperlink ref="E185" r:id="rId113" xr:uid="{75ECD30E-3D5C-409D-8582-BBB1F591B443}"/>
    <hyperlink ref="E319" r:id="rId114" xr:uid="{141FBD97-5E71-4D3B-837E-7EF724AFFADD}"/>
    <hyperlink ref="E186" r:id="rId115" xr:uid="{FCAED1F1-75CF-4A58-9D17-535D9274F274}"/>
    <hyperlink ref="E187" r:id="rId116" xr:uid="{BF573D80-28A6-4A80-A458-AB717D574692}"/>
    <hyperlink ref="E374" r:id="rId117" xr:uid="{77C3B523-507D-4C1E-8780-95A8472D78C7}"/>
    <hyperlink ref="E334" r:id="rId118" display="https://www.fastenal.com/product/Fasteners/Set%2520Screws/Socket%2520Set%2520Screws?Category%20Attributes.Dia/Thread%20Size=1%2F4%22-20&amp;Category%20Attributes.Material=Stainless%20Steel&amp;Category%20Attributes.Length=3%2F8%22&amp;Category%20Attributes.Point=Cup&amp;showAll=Category%20Attributes.Dia/Thread%20Size,Category%20Attributes.Length,Category%20Attributes.Material,Category%20Attributes.Point&amp;categoryId=600049&amp;sortBy=Best%20Match&amp;includeSuggestedFilters=false" xr:uid="{2F243D46-2ED4-4461-9D24-716B0B95D3DA}"/>
    <hyperlink ref="E29" r:id="rId119" xr:uid="{FB16FA07-1415-4089-A805-7858E27756AB}"/>
    <hyperlink ref="E364" r:id="rId120" xr:uid="{07727576-8E21-47E1-AB86-4B4A8A5A4690}"/>
    <hyperlink ref="E365" r:id="rId121" xr:uid="{525DFB71-0928-45B0-AD62-88FC1BC3105C}"/>
    <hyperlink ref="E35" r:id="rId122" xr:uid="{4BC85DE5-CFA7-41FB-A128-81C2507D1C88}"/>
    <hyperlink ref="E43" r:id="rId123" xr:uid="{C0B304CA-852D-4D3E-94A2-C15E4E573442}"/>
    <hyperlink ref="E44" r:id="rId124" xr:uid="{FBED6034-99BA-457A-8AFE-ED0F13501BBA}"/>
    <hyperlink ref="E379" r:id="rId125" xr:uid="{0386419C-DE9A-427D-90F1-7BB111D69BA9}"/>
    <hyperlink ref="E377" r:id="rId126" xr:uid="{3F913534-05DC-4E09-AE1F-DD1BCEA62063}"/>
    <hyperlink ref="E212" r:id="rId127" xr:uid="{3E8B19E6-4E62-4759-BC0E-98D619C4A312}"/>
    <hyperlink ref="E376" r:id="rId128" xr:uid="{42889ED1-2784-4767-9466-89F952D86861}"/>
    <hyperlink ref="E151" r:id="rId129" xr:uid="{DFFFFEC8-670B-4555-BBCA-35092DE8E11E}"/>
    <hyperlink ref="E108" r:id="rId130" xr:uid="{F0E48DD5-EDAC-4E61-99B7-76E9A47D151A}"/>
    <hyperlink ref="E61" r:id="rId131" xr:uid="{68182AD1-2C65-462A-9833-6F9C3AA36948}"/>
    <hyperlink ref="E306" r:id="rId132" xr:uid="{5E7D9BF3-77CE-4FCD-BCF3-803CF9EC9FED}"/>
    <hyperlink ref="E331" r:id="rId133" xr:uid="{4C7F59EA-A593-4663-8742-85AC6D7ECAE7}"/>
    <hyperlink ref="E69" r:id="rId134" xr:uid="{293B4167-9E63-48E7-A207-ACA1496F3C59}"/>
    <hyperlink ref="E70" r:id="rId135" xr:uid="{DBD48DB8-F5B7-417B-A632-A66B1CB2392E}"/>
    <hyperlink ref="E107" r:id="rId136" display="https://www.fastenal.com/product/Fasteners/Washers/Flat%252520Washers?Category%20Attributes.Material=Steel&amp;Category%20Attributes.Outer%20Diameter=2.000%22&amp;Category%20Attributes.Finish=Plain&amp;Category%20Attributes.Inner%20Diameter=0.812%22&amp;Category%20Attributes.Nominal%20Thickness=0.148%22&amp;Global%20Attributes.MFG%20in%20the%20USA=Y&amp;showAll=Category%20Attributes.Outer%20Diameter,Category%20Attributes.Inner%20Diameter,Category%20Attributes.Nominal%20Thickness,Category%20Attributes.Material,Category%20Attributes.Finish,Global%20Attributes.MFG%20in%20the%20USA&amp;categoryId=600097&amp;sortBy=Best%20Match&amp;includeSuggestedFilters=false" xr:uid="{656EC164-46EE-4455-BF00-030CE8576F3B}"/>
    <hyperlink ref="E169" r:id="rId137" xr:uid="{8CE8CAD2-0392-4814-80AE-8D8684B278DE}"/>
    <hyperlink ref="E73" r:id="rId138" xr:uid="{DF3F17C1-0C1C-4F98-8F4F-6E0415142C9D}"/>
    <hyperlink ref="E222" r:id="rId139" xr:uid="{196058E0-5FDB-4866-899D-9D603186D95A}"/>
    <hyperlink ref="E76" r:id="rId140" xr:uid="{0C1A2DBA-10A1-452D-9807-3DC0765B2D04}"/>
    <hyperlink ref="E224" r:id="rId141" xr:uid="{8BE4DA9D-95B4-4E05-B056-1B0C732F57A6}"/>
    <hyperlink ref="E84" r:id="rId142" xr:uid="{EF0C9378-FCFD-4387-BCB4-D00F74F70665}"/>
    <hyperlink ref="E95" r:id="rId143" xr:uid="{F3A11EB1-3EEF-47B0-90A8-A2A100262501}"/>
    <hyperlink ref="E98" r:id="rId144" xr:uid="{A667420A-0DF2-4901-ADD1-FA0CC1586CCC}"/>
    <hyperlink ref="E231" r:id="rId145" xr:uid="{609EECB3-3EBB-4172-A42D-C4CBC15AF12A}"/>
    <hyperlink ref="E103" r:id="rId146" xr:uid="{D2272F3E-E979-43D2-97AD-F4C38D502B7F}"/>
    <hyperlink ref="E105" r:id="rId147" xr:uid="{7F016995-663C-4396-8C8D-767FF6895154}"/>
    <hyperlink ref="E233" r:id="rId148" xr:uid="{1EE20F7D-B163-4B20-8C20-A9F5C7B16F81}"/>
    <hyperlink ref="E269" r:id="rId149" xr:uid="{A0819542-E9DE-4A0E-AEAD-DE5A5E8BAB0E}"/>
    <hyperlink ref="E275" r:id="rId150" xr:uid="{C1884841-5AA5-4A36-95B9-EA0052791408}"/>
    <hyperlink ref="E276" r:id="rId151" xr:uid="{63BC321F-938C-4B25-888E-1F705CACEECA}"/>
    <hyperlink ref="E293" r:id="rId152" xr:uid="{84E2FB59-EE9F-4660-8CD0-2B8E5AC0E191}"/>
    <hyperlink ref="E173" r:id="rId153" xr:uid="{A8FF6C47-39CF-4BA8-B0CB-8DE75A3BAF54}"/>
    <hyperlink ref="E209" r:id="rId154" xr:uid="{020B7D1F-5C8B-45D0-9DE8-E67B738DDA40}"/>
    <hyperlink ref="E225" r:id="rId155" xr:uid="{4B45F01B-9BF9-463C-BA06-4A73D5A4CC4F}"/>
    <hyperlink ref="E283" r:id="rId156" display="https://www.grainger.com/category/fasteners/bolts-screws/hex-head-bolts/standard-hex-head-cap-screws?attrs=Fastener+Length%7C2-1%2F4+in~~Material+Grade%2FClass%7CGrade+2~~Material%7CSteel~~System+of+Measurement%7CInch~~Thread+Size%7C5%2F8%22-11&amp;filters=attrs" xr:uid="{79B3428E-2A40-44EE-A5BE-65264CDF2F74}"/>
    <hyperlink ref="E333" r:id="rId157" xr:uid="{E736C444-D226-47C9-B248-E1A87D4BFE7F}"/>
    <hyperlink ref="E343" r:id="rId158" xr:uid="{AA4D5D8E-D033-4304-AEB1-6EF5F28C0267}"/>
    <hyperlink ref="E375" r:id="rId159" xr:uid="{241EC18D-B5C6-45BA-A9E0-F232DFE81641}"/>
    <hyperlink ref="E229" r:id="rId160" xr:uid="{1796D87D-45F9-4320-8206-BE13DD8729E7}"/>
    <hyperlink ref="E267" r:id="rId161" xr:uid="{CC639796-50C4-4476-8C43-57EDFCCA2AF0}"/>
    <hyperlink ref="E281" r:id="rId162" xr:uid="{BD0B8147-53D2-44C7-82B2-75C8C4183E66}"/>
    <hyperlink ref="E282" r:id="rId163" xr:uid="{92ABA4A9-52F0-419F-96F8-E059CFA05352}"/>
    <hyperlink ref="E340" r:id="rId164" xr:uid="{6BEDF4DD-1C98-4795-A637-19548911748B}"/>
    <hyperlink ref="E223" r:id="rId165" xr:uid="{B72354E6-4072-4299-A87D-0C13E7AE6CC1}"/>
    <hyperlink ref="E24" r:id="rId166" xr:uid="{87FB6672-3A7E-44D1-9894-DE32E66E8ED8}"/>
    <hyperlink ref="E15" r:id="rId167" xr:uid="{6412AFA6-E1ED-48F6-A1F7-5D391609C511}"/>
    <hyperlink ref="E149" r:id="rId168" xr:uid="{D8D80F0E-99FE-49E2-856A-8210E43DFDC0}"/>
    <hyperlink ref="E83" r:id="rId169" xr:uid="{2827DDC8-BD1B-45E4-BCCA-474BB5A906C4}"/>
    <hyperlink ref="E86" r:id="rId170" xr:uid="{DF8654F7-4139-45DE-B2F8-FDA602032B55}"/>
    <hyperlink ref="E124" r:id="rId171" xr:uid="{53596E83-2481-4922-BC80-CE089008755B}"/>
    <hyperlink ref="E191" r:id="rId172" xr:uid="{F8CA3C5D-367A-4099-8C34-03CE73EA8B4F}"/>
    <hyperlink ref="E208" r:id="rId173" xr:uid="{532E7B19-3990-4C43-9FA0-7A7953B7C91D}"/>
    <hyperlink ref="E244" r:id="rId174" xr:uid="{A4F45DEB-4DB0-4E16-814A-6786C5E31FAB}"/>
    <hyperlink ref="E228" r:id="rId175" display="https://www.grainger.com/product/22TC68?gucid=N:N:PS:Paid:GGL:CSM-2295:4P7A1P:20501231&amp;gad_source=1&amp;gclid=Cj0KCQiAzoeuBhDqARIsAMdH14E7CA3e6Xo3gwNVqg7YoIb3rOk8CnxDMK4e8oUg14vgSZRwx-9SelsaAmBDEALw_wcB&amp;gclsrc=aw.ds" xr:uid="{25B652E0-0EF2-4D94-A7E3-032AA866FA53}"/>
    <hyperlink ref="E320" r:id="rId176" display="https://www.grainger.com/product/5DB31?gucid=N:N:PS:Paid:GGL:CSM-2295:4P7A1P:20501231&amp;gad_source=1&amp;gclid=Cj0KCQiAzoeuBhDqARIsAMdH14GqGCpuAYmLABcr3TT8ICs_URe3rp1PuWmnIUX1t-vFJ1NBtZRw2rYaAi4yEALw_wcB&amp;gclsrc=aw.ds" xr:uid="{ACA0FC32-4797-4984-A870-0B7DD570E321}"/>
    <hyperlink ref="E323" r:id="rId177" display="https://www.applied.com/c-brands/c-rotor-clip/sh-293ss/External-SH-Retaining-Ring/p/101469204" xr:uid="{D5255E01-2A1E-4736-B19F-D4BD014D9A07}"/>
    <hyperlink ref="E324" r:id="rId178" display="https://www.applied.com/c-brands/c-rotor-clip/sh-343ss/External-SH-Retaining-Ring/p/101470964" xr:uid="{5CD054F2-A14E-42AC-AA4D-36398FD34C59}"/>
    <hyperlink ref="E373" r:id="rId179" display="https://www.applied.com/c-brands/c-rotor-clip/vsh-215st-pa/External-VSH-Retaining-Ring/p/101552943" xr:uid="{59436E7D-6A12-461A-8EF7-3429D7C47E7C}"/>
    <hyperlink ref="E383" r:id="rId180" display="https://www.grainger.com/product/ROTOR-CLIP-E-Style-Retaining-Ring-5CE25?searchQuery=SE-74STZD&amp;searchBar=true&amp;tier=Tier+6" xr:uid="{ADE8917C-19BA-440A-8E54-303E4C981726}"/>
    <hyperlink ref="E381" r:id="rId181" xr:uid="{D7C248B6-8B66-4D44-B866-C6E8AC203B30}"/>
    <hyperlink ref="E387" r:id="rId182" display="https://www.motion.com/products/sku/00633884" xr:uid="{BFB71713-EB49-43E4-87E7-9B726285939B}"/>
    <hyperlink ref="E63" r:id="rId183" display="https://www.fastenal.com/product/details/1173461" xr:uid="{A8396BBB-2D79-4AD4-AE9F-50271F727A0B}"/>
    <hyperlink ref="E321" r:id="rId184" display="https://www.huyett.com/sh-162-ss" xr:uid="{6C126B26-AABB-41A0-9831-30AF0D894317}"/>
    <hyperlink ref="E178" r:id="rId185" display="https://www.huyett.com/gps-0125-0750-u?msclkid=236ae7cedafd10048f66818c90a2d7f9&amp;utm_source=bing&amp;utm_medium=cpc&amp;utm_campaign=Shopping%202024&amp;utm_term=4585238372748421&amp;utm_content=Ad%20group%20%231" xr:uid="{2D9EFA58-C380-4798-BE8E-E6C4BA31A702}"/>
    <hyperlink ref="E179" r:id="rId186" display="https://www.huyett.com/gps-0125-0375-a?msclkid=ba1cf071215718b227639633713bc76a&amp;utm_source=bing&amp;utm_medium=cpc&amp;utm_campaign=Shopping%202024&amp;utm_term=4585238372748421&amp;utm_content=Ad%20group%20%231" xr:uid="{A553B23A-3B41-4B70-AFB1-86C20E00704C}"/>
    <hyperlink ref="E180" r:id="rId187" display="https://www.huyett.com/gp-0187-1125-a" xr:uid="{84988F5E-A058-4258-BAB3-5317FD4FAB9F}"/>
    <hyperlink ref="E6" r:id="rId188" xr:uid="{99743510-65CC-4C92-A64B-FA7598200F98}"/>
    <hyperlink ref="E4" r:id="rId189" xr:uid="{DB08CCCA-0423-445D-9863-3E29F347F337}"/>
    <hyperlink ref="E7" r:id="rId190" xr:uid="{98E21D7B-A4D4-4678-8264-82BFB515EF30}"/>
    <hyperlink ref="E8" r:id="rId191" xr:uid="{081BC70E-408C-416C-BFFF-2D0BF5BF48CC}"/>
    <hyperlink ref="E16" r:id="rId192" xr:uid="{3250B713-DCF9-42E1-978C-444173F5F2E0}"/>
    <hyperlink ref="E17" r:id="rId193" xr:uid="{02955320-E671-4238-9A9F-81E0B70148C3}"/>
    <hyperlink ref="E18" r:id="rId194" xr:uid="{907E61D5-EE17-49DC-ABBD-916DB9E8B870}"/>
    <hyperlink ref="E166" r:id="rId195" xr:uid="{D97921B4-0018-4ECD-856D-C4E3200DA7C7}"/>
    <hyperlink ref="E268" r:id="rId196" display="https://www.grainger.com/product/Lock-Washer-For-Screw-Size-22UJ92" xr:uid="{C5563898-A34A-487F-81A1-1ECBD66818C0}"/>
    <hyperlink ref="E341" r:id="rId197" display="https://www.grainger.com/product/Hex-Head-Cap-Screw-Stainless-24K877" xr:uid="{044E0148-F894-4A86-AD6D-ED226DB0DCC5}"/>
    <hyperlink ref="E349" r:id="rId198" xr:uid="{26402D5F-8838-465F-921F-2D5924897F33}"/>
    <hyperlink ref="E346" r:id="rId199" xr:uid="{025BDD8F-93DF-4F22-9F22-B1B5AC3913D5}"/>
    <hyperlink ref="E350" r:id="rId200" display="https://www.o-ring-stocks.com/o-ring-118x5.3-viton-fkm-fpm-90-shore-a-black-ses-338604" xr:uid="{213F58C5-1FAB-49D8-B54C-22B47BC7D947}"/>
    <hyperlink ref="E351" r:id="rId201" location="q=O-Ring%201x5.3" tooltip="https://www.o-ring-stocks.com/o-ring-118x5.3-viton-fkm-fpm-90-shore-a-black-ses-338604#q=o-ring%201x5.3" display="https://www.o-ring-stocks.com/o-ring-118x5.3-viton-fkm-fpm-90-shore-a-black-ses-338604 - q=O-Ring%201x5.3" xr:uid="{FC4BE43E-DC6B-4124-B71A-B28CF40053AB}"/>
    <hyperlink ref="E355" r:id="rId202" tooltip="https://www.o-ring-stocks.com/o-ring-69x3.55-viton-fkm-fpm-80-shore-a-black-ses-159252" display="https://www.o-ring-stocks.com/o-ring-69x3.55-viton-fkm-fpm-80-shore-a-black-ses-159252" xr:uid="{35BDEF9D-9BFD-42AF-A814-05A292D94C10}"/>
    <hyperlink ref="E372" r:id="rId203" display="https://www.huyett.com/w-11" xr:uid="{B229D360-9B79-42B4-8EE6-169250DA2F07}"/>
    <hyperlink ref="E382" r:id="rId204" xr:uid="{7FCCDE77-0AE6-4E48-A1F6-F0CC33ED3E51}"/>
    <hyperlink ref="E386" r:id="rId205" xr:uid="{951CB8DF-226F-46C7-8C85-3A26E22B43BE}"/>
    <hyperlink ref="E20" r:id="rId206" display="https://www.mcmaster.com/90108A032/" xr:uid="{919657A9-BCB8-4E12-9990-1F8512C76575}"/>
    <hyperlink ref="E19" r:id="rId207" display="https://www.mcmaster.com/90502A031/" xr:uid="{2A0B559B-EAAE-4F21-BDE9-C49B8B5A6A5F}"/>
    <hyperlink ref="E9" r:id="rId208" display="https://www.grainger.com/product/Hex-Head-Cap-Screw-Steel-30Z861" xr:uid="{A19D7091-4CDA-4EFA-92D9-E89E2BB0807F}"/>
    <hyperlink ref="E10" r:id="rId209" xr:uid="{858CE78A-64D8-4AF0-8781-A64B566907C4}"/>
    <hyperlink ref="E34" r:id="rId210" xr:uid="{9A8AA374-0AB8-4428-8FAD-6246FA734DEE}"/>
    <hyperlink ref="E38" r:id="rId211" display="https://www.fastenal.com/product/details/1136116" xr:uid="{26B5E1FF-6CC0-46C5-9BAF-70F8D7E24810}"/>
    <hyperlink ref="E26" r:id="rId212" location="materials-and-finishes" xr:uid="{8E537B66-8403-4440-879A-D8A63A0F0FAD}"/>
    <hyperlink ref="E251" r:id="rId213" xr:uid="{B7A26046-1235-4EBA-BE38-0D758C1A43CD}"/>
    <hyperlink ref="E252" r:id="rId214" xr:uid="{C365A552-896F-4CB2-A39F-DD9C4C2A6FCF}"/>
    <hyperlink ref="E253" r:id="rId215" xr:uid="{E5BE071C-684F-498D-98CD-FFFDC965E84E}"/>
    <hyperlink ref="E254" r:id="rId216" xr:uid="{0DC9DA94-4043-404A-9153-98C92D16E64D}"/>
    <hyperlink ref="E255" r:id="rId217" xr:uid="{1DDA7C20-2115-41E4-BA7E-20A1FACEC7FA}"/>
    <hyperlink ref="E256" r:id="rId218" xr:uid="{91A217F2-7ADB-4D85-B97F-0122E8C05C8B}"/>
    <hyperlink ref="E31" r:id="rId219" xr:uid="{F486C023-7CF1-4778-82AA-11CB89CB89D3}"/>
    <hyperlink ref="E65" r:id="rId220" xr:uid="{DB6444EF-CE53-4B10-81BF-40AB96EE60F6}"/>
    <hyperlink ref="E32" r:id="rId221" xr:uid="{6B086686-2A6C-442F-89D5-8CEF3F64E1CC}"/>
    <hyperlink ref="E33" r:id="rId222" xr:uid="{945F8950-16AC-4134-B00D-0737734FEDF6}"/>
    <hyperlink ref="E257" r:id="rId223" xr:uid="{2B4C5ED8-D28D-4B3D-BF65-DF72B94B8DC4}"/>
    <hyperlink ref="E258" r:id="rId224" xr:uid="{C0961ADE-D081-42C8-A0F1-91E176504077}"/>
    <hyperlink ref="E352" r:id="rId225" display="https://www.mcmaster.com/3799N82/" xr:uid="{9146C3FA-864D-4B7B-AE36-3CC41B4C42DF}"/>
    <hyperlink ref="E353" r:id="rId226" display="https://www.mcmaster.com/3799N82/" xr:uid="{32356003-F1E6-489D-8CC8-831471552ECB}"/>
    <hyperlink ref="E140" r:id="rId227" xr:uid="{593FE037-BCB1-4346-B083-03576AD83F3F}"/>
    <hyperlink ref="E37" r:id="rId228" display="https://www.mcmaster.com/97042A112/" xr:uid="{4B1931AB-71C3-4977-B587-CDA105862C3B}"/>
    <hyperlink ref="E36" r:id="rId229" display="https://www.mcmaster.com/90419A460/" xr:uid="{FABE1547-5BD9-4B9F-82DA-DAF71C6D5B8B}"/>
    <hyperlink ref="E157" r:id="rId230" display="https://www.mcmaster.com/93190A303/" xr:uid="{D234A455-2F6D-4B83-A906-97B3E38AC243}"/>
    <hyperlink ref="E318" r:id="rId231" xr:uid="{EAD1676C-E46F-47B2-A2F5-BEF42E85F29C}"/>
    <hyperlink ref="E127" r:id="rId232" xr:uid="{0423491B-1B70-4093-A4D6-B137694B99CD}"/>
    <hyperlink ref="E207" r:id="rId233" xr:uid="{166FC775-9626-4188-A659-96C3BE74092D}"/>
    <hyperlink ref="E288" r:id="rId234" xr:uid="{AA493563-5453-4394-A717-C0430B7FED4E}"/>
    <hyperlink ref="E309" r:id="rId235" display="https://www.huyett.com/ftwu-0437-zyb" xr:uid="{91AB2E35-16AC-44C8-947E-07BDACE5481D}"/>
    <hyperlink ref="E312" r:id="rId236" xr:uid="{24008B08-4AE8-43C1-A1D5-E8C7628EE1C7}"/>
    <hyperlink ref="E106" r:id="rId237" xr:uid="{5DFD4FAB-F9E4-4062-B205-DED616B57817}"/>
    <hyperlink ref="E40" r:id="rId238" xr:uid="{918299D1-38D2-4A5F-BEEB-A16E2E2EF417}"/>
    <hyperlink ref="E21" r:id="rId239" xr:uid="{208FC3CA-4CD6-4C5B-9CCB-5B4B70D47A9A}"/>
    <hyperlink ref="E142" r:id="rId240" display="https://www.huyett.com/n-06" xr:uid="{EE2F9A5D-9406-4D3C-972C-E661F4DB5F8F}"/>
    <hyperlink ref="E144" r:id="rId241" display="https://www.huyett.com/n-08" xr:uid="{80D68E05-7247-4BF3-BFFB-92AAC8C7CFF6}"/>
    <hyperlink ref="E172" r:id="rId242" xr:uid="{0216C50D-7BD2-4EBC-A9A9-2B4A85744BE5}"/>
    <hyperlink ref="E175" r:id="rId243" xr:uid="{27ED4150-D08D-4405-B5D0-024D17DF9CA6}"/>
    <hyperlink ref="E388" r:id="rId244" xr:uid="{6457C893-0F02-4C9E-865C-92443F50B7D4}"/>
    <hyperlink ref="E42" r:id="rId245" xr:uid="{03F96DD2-015A-4C6D-ADC3-631FA4B34D66}"/>
    <hyperlink ref="E55" r:id="rId246" xr:uid="{55410F4D-481E-483D-9282-C9B493070BF2}"/>
    <hyperlink ref="E47" r:id="rId247" xr:uid="{06CE7A0B-B8A8-493C-8F46-EC3505347AF1}"/>
    <hyperlink ref="E66" r:id="rId248" xr:uid="{A421D064-DB9A-42BA-9543-78962955B847}"/>
    <hyperlink ref="E14" r:id="rId249" xr:uid="{707D3F4C-46E1-4962-99C2-4B5D260082EE}"/>
    <hyperlink ref="E51" r:id="rId250" display="https://www.huyett.com/3002500250-3000" xr:uid="{7852705C-6C80-45FA-AC9E-11AF4FBDB1B2}"/>
    <hyperlink ref="E49" r:id="rId251" display="https://www.huyett.com/3003120375-2250" xr:uid="{3B909609-3C1A-4A6A-9E77-F17D15A66962}"/>
    <hyperlink ref="E75" r:id="rId252" xr:uid="{5A58BB43-A43D-49C6-ADE6-9F810D6ADD18}"/>
    <hyperlink ref="E77" r:id="rId253" xr:uid="{AB1CC40B-4DFE-4C35-A10B-8BA462EC04E1}"/>
    <hyperlink ref="E78" r:id="rId254" xr:uid="{F1D8AC1D-4D00-4E21-926E-5F476CC14326}"/>
    <hyperlink ref="E94" r:id="rId255" xr:uid="{A221A0CB-63C5-4A11-8276-C64DF63F928C}"/>
    <hyperlink ref="E189" r:id="rId256" display="https://www.mcmaster.com/92624A401/" xr:uid="{CA5D7A34-D210-4D99-AD72-60BA5AD081AB}"/>
    <hyperlink ref="E188" r:id="rId257" display="https://www.mcmaster.com/92624A160/" xr:uid="{5A56C6C8-B67B-4D10-BA6F-1522BAF47393}"/>
    <hyperlink ref="E116" r:id="rId258" xr:uid="{F587AEF6-3DC0-4ABB-B9D6-90B71C053FBA}"/>
    <hyperlink ref="E115" r:id="rId259" display="https://www.mcmaster.com/92624A281/" xr:uid="{6B705786-3774-47CF-9DD1-A40D3D01C5FE}"/>
    <hyperlink ref="E203" r:id="rId260" display="https://www1.mcmaster.com/98870A395/" xr:uid="{0F96424E-1393-4A4D-BE62-0C6A7637AB8C}"/>
    <hyperlink ref="E246" r:id="rId261" xr:uid="{5E59F97F-25F9-4A51-BDD7-A1E40C5BFD0A}"/>
    <hyperlink ref="E249" r:id="rId262" xr:uid="{FED4E60C-0AB7-4EDC-BD13-DD2DE907916C}"/>
    <hyperlink ref="E314" r:id="rId263" xr:uid="{3F256814-6F29-4DA4-A405-3D708926C4DC}"/>
    <hyperlink ref="E315" r:id="rId264" xr:uid="{86FA10E3-0CE2-40BA-87C7-4AB4A7D83A01}"/>
    <hyperlink ref="E316" r:id="rId265" xr:uid="{78346227-F1DB-4AB3-B402-AC8F89469719}"/>
    <hyperlink ref="E317" r:id="rId266" display="https://www1.mcmaster.com/98870A405/" xr:uid="{880885F6-1663-4EFC-8678-72E91125D6EF}"/>
    <hyperlink ref="E328" r:id="rId267" display="https://www.mcmaster.com/92624A283/" xr:uid="{8EBCF18C-BAE1-47EF-8C55-D5274E678BC1}"/>
    <hyperlink ref="E329" r:id="rId268" xr:uid="{913C5F3D-56C6-400C-B75C-71BDDB006792}"/>
    <hyperlink ref="E354" r:id="rId269" xr:uid="{4D0D3242-F6AB-4199-BDBF-8E98EBC2FF02}"/>
    <hyperlink ref="E362" r:id="rId270" xr:uid="{5201448D-A43D-4862-B978-126F20F7636B}"/>
    <hyperlink ref="E369" r:id="rId271" xr:uid="{32A24D64-7D0C-47A4-BA13-40CAE68C7925}"/>
    <hyperlink ref="E370" r:id="rId272" xr:uid="{6E3299B0-44D2-4FF4-8359-AB8E5377C2CF}"/>
    <hyperlink ref="E357" r:id="rId273" xr:uid="{DE97D7A8-41FE-4652-B310-6FB379B40760}"/>
    <hyperlink ref="E380" r:id="rId274" xr:uid="{F68DE871-5FD1-48EB-842E-4D35B4566B97}"/>
    <hyperlink ref="E109" r:id="rId275" xr:uid="{D325AAC4-2924-47F0-BE99-56ABBF4D8123}"/>
    <hyperlink ref="E181" r:id="rId276" display="https://www.grainger.com/product/Fully-Threaded-Stud-1-2-13-26LP50" xr:uid="{04C16F4E-2957-4F38-9270-F8975D9342EC}"/>
    <hyperlink ref="E311" r:id="rId277" display="https://www.huyett.com/wshf08-0375-1250sp" xr:uid="{C555066F-AB74-41EC-A763-B79C905CC8B3}"/>
    <hyperlink ref="E177" r:id="rId278" xr:uid="{F9EFDC76-F25E-419E-AD12-8318C5C5F73F}"/>
    <hyperlink ref="E171" r:id="rId279" xr:uid="{C6F621C0-7287-4A7F-8D7A-B2F6392E8C84}"/>
    <hyperlink ref="E57" r:id="rId280" xr:uid="{91635E8B-E7E8-4560-8FF3-B4809984570A}"/>
    <hyperlink ref="E130" r:id="rId281" xr:uid="{4B7F8E7E-3F54-47CE-8F38-2D3FDD564863}"/>
    <hyperlink ref="E131" r:id="rId282" xr:uid="{E4ADFBFC-9530-4765-B8E1-114CEA45AEC0}"/>
    <hyperlink ref="E132" r:id="rId283" xr:uid="{8F9989E7-C67C-4FDA-BD34-B32DAACAF8EB}"/>
    <hyperlink ref="E133" r:id="rId284" xr:uid="{781BF63D-33C2-4457-A6AC-282F70CBABFF}"/>
    <hyperlink ref="E134" r:id="rId285" xr:uid="{450A0301-D1DA-4764-A4E6-C5AEA26A2E84}"/>
    <hyperlink ref="E135" r:id="rId286" xr:uid="{8C551278-8097-49CA-A7C7-46D6ADF1A0CB}"/>
    <hyperlink ref="E136" r:id="rId287" xr:uid="{3FFBA2BF-AC1C-45B2-9907-1391CEF76B11}"/>
    <hyperlink ref="E137" r:id="rId288" xr:uid="{1E7F9B5A-DD2D-4D89-9B34-59A9816404C7}"/>
    <hyperlink ref="E138" r:id="rId289" xr:uid="{C0F086D8-0031-4FB3-BAD9-20479C20D1A4}"/>
    <hyperlink ref="E139" r:id="rId290" xr:uid="{AD802BEA-A1BA-4A9C-AB4B-B1E7D0F039D6}"/>
    <hyperlink ref="E141" r:id="rId291" xr:uid="{76384946-3CC6-483E-8CB5-F03BBDEA64AF}"/>
    <hyperlink ref="E22" r:id="rId292" xr:uid="{79C4E93B-801F-464D-A7DE-B090CABCD14D}"/>
    <hyperlink ref="E336" r:id="rId293" xr:uid="{E43A0D11-83F2-4D92-8B7A-3138045B84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Xylem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Ramos, Alexander - Xylem</dc:creator>
  <cp:lastModifiedBy>Jacob Avorio</cp:lastModifiedBy>
  <dcterms:created xsi:type="dcterms:W3CDTF">2024-02-22T23:07:14Z</dcterms:created>
  <dcterms:modified xsi:type="dcterms:W3CDTF">2025-07-30T16:49:48Z</dcterms:modified>
</cp:coreProperties>
</file>