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xylem.sharepoint.com/teams/SustainingEngineering/Shared Documents/Field Service/FS1002 - 320 S canal/"/>
    </mc:Choice>
  </mc:AlternateContent>
  <xr:revisionPtr revIDLastSave="48" documentId="8_{18084D7E-F650-4AD4-A4DA-9A2618B2DE12}" xr6:coauthVersionLast="47" xr6:coauthVersionMax="47" xr10:uidLastSave="{A210B48D-EA2B-4EE0-B9E0-6B25A20A27C9}"/>
  <bookViews>
    <workbookView xWindow="50925" yWindow="2970" windowWidth="21600" windowHeight="17985" xr2:uid="{D5F48F7B-E478-4B79-BCDD-9011985B6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9" i="1"/>
  <c r="D30" i="1"/>
  <c r="D31" i="1"/>
  <c r="D32" i="1"/>
  <c r="D23" i="1"/>
  <c r="D14" i="1"/>
  <c r="D15" i="1"/>
  <c r="D16" i="1"/>
  <c r="D17" i="1"/>
  <c r="D18" i="1"/>
  <c r="D19" i="1"/>
  <c r="D13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<sst xmlns="http://schemas.openxmlformats.org/spreadsheetml/2006/main" count="63" uniqueCount="44">
  <si>
    <t>Qty</t>
  </si>
  <si>
    <t>P/N</t>
  </si>
  <si>
    <t>Description</t>
  </si>
  <si>
    <t>P6010904</t>
  </si>
  <si>
    <t>Lip Seal, Shaft Size 75</t>
  </si>
  <si>
    <t>P6010879</t>
  </si>
  <si>
    <t>Bearing 6315</t>
  </si>
  <si>
    <t>P6010906</t>
  </si>
  <si>
    <t>Gasket Bearing Gland, 160x210x0.25</t>
  </si>
  <si>
    <t>P6013146</t>
  </si>
  <si>
    <t>Gasket Suction, 8X10X26 / 200-655 / 8X10X25 / 200-625</t>
  </si>
  <si>
    <t>P6013147</t>
  </si>
  <si>
    <t>Gasket Discharge, 8X10X26 / 200-655 / 8X10X25 / 200-625</t>
  </si>
  <si>
    <t>P6010897</t>
  </si>
  <si>
    <t>Stuff Box O-ring, 268x7</t>
  </si>
  <si>
    <t>RS-25 seals 80mm</t>
  </si>
  <si>
    <t>P6022125</t>
  </si>
  <si>
    <t>P6010251</t>
  </si>
  <si>
    <t>Lip Seal, Shaft Size 45</t>
  </si>
  <si>
    <t>P6010252</t>
  </si>
  <si>
    <t>Bearing 6309</t>
  </si>
  <si>
    <t>P6010253</t>
  </si>
  <si>
    <t>Gasket Bearing Gland, 100x140x0.25</t>
  </si>
  <si>
    <t>P6010264</t>
  </si>
  <si>
    <t>Gasket Suction, 4X6X13 / 100-325 / 4X6X12 / 100-310</t>
  </si>
  <si>
    <t>P6011005</t>
  </si>
  <si>
    <t>Gasket Discharge, 4X6X13 / 100-325 / 4X6X12 / 100-310</t>
  </si>
  <si>
    <t>P6010243</t>
  </si>
  <si>
    <t>Stuff Box O-ring, 185x5.3</t>
  </si>
  <si>
    <t>RS-25 mechanical seal, 50mm</t>
  </si>
  <si>
    <t>P6022122</t>
  </si>
  <si>
    <t>Studs</t>
  </si>
  <si>
    <t>Nuts</t>
  </si>
  <si>
    <t>Clip</t>
  </si>
  <si>
    <t>Qty per pump</t>
  </si>
  <si>
    <t>Qty Total</t>
  </si>
  <si>
    <t>8x10x25 (2x 75mm shaft size  pumps)</t>
  </si>
  <si>
    <t>4x6x12.5 (2x 45mm shaft size pumps)</t>
  </si>
  <si>
    <t>Attic Stock</t>
  </si>
  <si>
    <t>8x10x25 (3x Changes) (75mm shaft size)</t>
  </si>
  <si>
    <t>4x6x12.5 (3x Changes) (45mm shaft size)</t>
  </si>
  <si>
    <t>Misc Parts needed for assembly</t>
  </si>
  <si>
    <t>TBD</t>
  </si>
  <si>
    <t>P6022136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</si>
</sst>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03864"/>
      <name val="Calibri"/>
      <family val="2"/>
    </font>
    <font>
      <sz val="8"/>
      <color theme="1"/>
      <name val="Aptos Narrow"/>
      <family val="2"/>
      <scheme val="minor"/>
    </font>
    <font>
      <b/>
      <sz val="11"/>
      <color rgb="FF20386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7D81-60AA-41EE-B53B-79E2F3E1FB58}">
  <dimension ref="A1:D37"/>
  <sheetViews>
    <sheetView tabSelected="1" workbookViewId="0">
      <selection activeCell="A37" sqref="A37"/>
    </sheetView>
  </sheetViews>
  <sheetFormatPr defaultRowHeight="15" x14ac:dyDescent="0.25"/>
  <cols>
    <col min="1" max="1" width="17.7109375" customWidth="1"/>
    <col min="2" max="2" width="65" customWidth="1"/>
    <col min="3" max="3" width="12.7109375" bestFit="1" customWidth="1"/>
  </cols>
  <sheetData>
    <row r="1" spans="1:4" x14ac:dyDescent="0.25">
      <c r="A1" s="5" t="s">
        <v>36</v>
      </c>
      <c r="B1" s="5"/>
      <c r="C1" s="5"/>
    </row>
    <row r="2" spans="1:4" x14ac:dyDescent="0.25">
      <c r="A2" t="s">
        <v>1</v>
      </c>
      <c r="B2" t="s">
        <v>2</v>
      </c>
      <c r="C2" t="s">
        <v>34</v>
      </c>
      <c r="D2" t="s">
        <v>35</v>
      </c>
    </row>
    <row r="3" spans="1:4" x14ac:dyDescent="0.25">
      <c r="A3" t="s">
        <v>3</v>
      </c>
      <c r="B3" t="s">
        <v>4</v>
      </c>
      <c r="C3">
        <v>2</v>
      </c>
      <c r="D3">
        <f>C3*2</f>
        <v>4</v>
      </c>
    </row>
    <row r="4" spans="1:4" x14ac:dyDescent="0.25">
      <c r="A4" t="s">
        <v>5</v>
      </c>
      <c r="B4" t="s">
        <v>6</v>
      </c>
      <c r="C4">
        <v>2</v>
      </c>
      <c r="D4">
        <f t="shared" ref="D4:D9" si="0">C4*2</f>
        <v>4</v>
      </c>
    </row>
    <row r="5" spans="1:4" x14ac:dyDescent="0.25">
      <c r="A5" t="s">
        <v>7</v>
      </c>
      <c r="B5" t="s">
        <v>8</v>
      </c>
      <c r="C5">
        <v>2</v>
      </c>
      <c r="D5">
        <f t="shared" si="0"/>
        <v>4</v>
      </c>
    </row>
    <row r="6" spans="1:4" x14ac:dyDescent="0.25">
      <c r="A6" t="s">
        <v>9</v>
      </c>
      <c r="B6" t="s">
        <v>10</v>
      </c>
      <c r="C6">
        <v>2</v>
      </c>
      <c r="D6">
        <f t="shared" si="0"/>
        <v>4</v>
      </c>
    </row>
    <row r="7" spans="1:4" x14ac:dyDescent="0.25">
      <c r="A7" t="s">
        <v>11</v>
      </c>
      <c r="B7" t="s">
        <v>12</v>
      </c>
      <c r="C7">
        <v>2</v>
      </c>
      <c r="D7">
        <f t="shared" si="0"/>
        <v>4</v>
      </c>
    </row>
    <row r="8" spans="1:4" x14ac:dyDescent="0.25">
      <c r="A8" t="s">
        <v>13</v>
      </c>
      <c r="B8" t="s">
        <v>14</v>
      </c>
      <c r="C8">
        <v>4</v>
      </c>
      <c r="D8">
        <f t="shared" si="0"/>
        <v>8</v>
      </c>
    </row>
    <row r="9" spans="1:4" x14ac:dyDescent="0.25">
      <c r="A9" t="s">
        <v>16</v>
      </c>
      <c r="B9" t="s">
        <v>15</v>
      </c>
      <c r="C9">
        <v>2</v>
      </c>
      <c r="D9">
        <f t="shared" si="0"/>
        <v>4</v>
      </c>
    </row>
    <row r="10" spans="1:4" x14ac:dyDescent="0.25">
      <c r="B10" s="3"/>
      <c r="C10" s="2"/>
    </row>
    <row r="11" spans="1:4" x14ac:dyDescent="0.25">
      <c r="A11" s="5" t="s">
        <v>37</v>
      </c>
      <c r="B11" s="5"/>
      <c r="C11" s="5"/>
    </row>
    <row r="12" spans="1:4" x14ac:dyDescent="0.25">
      <c r="A12" t="s">
        <v>1</v>
      </c>
      <c r="B12" t="s">
        <v>2</v>
      </c>
      <c r="C12" t="s">
        <v>0</v>
      </c>
    </row>
    <row r="13" spans="1:4" x14ac:dyDescent="0.25">
      <c r="A13" t="s">
        <v>17</v>
      </c>
      <c r="B13" t="s">
        <v>18</v>
      </c>
      <c r="C13">
        <v>2</v>
      </c>
      <c r="D13">
        <f>C13*2</f>
        <v>4</v>
      </c>
    </row>
    <row r="14" spans="1:4" x14ac:dyDescent="0.25">
      <c r="A14" t="s">
        <v>19</v>
      </c>
      <c r="B14" t="s">
        <v>20</v>
      </c>
      <c r="C14">
        <v>2</v>
      </c>
      <c r="D14">
        <f t="shared" ref="D14:D19" si="1">C14*2</f>
        <v>4</v>
      </c>
    </row>
    <row r="15" spans="1:4" x14ac:dyDescent="0.25">
      <c r="A15" t="s">
        <v>21</v>
      </c>
      <c r="B15" t="s">
        <v>22</v>
      </c>
      <c r="C15">
        <v>2</v>
      </c>
      <c r="D15">
        <f t="shared" si="1"/>
        <v>4</v>
      </c>
    </row>
    <row r="16" spans="1:4" x14ac:dyDescent="0.25">
      <c r="A16" t="s">
        <v>23</v>
      </c>
      <c r="B16" t="s">
        <v>24</v>
      </c>
      <c r="C16">
        <v>2</v>
      </c>
      <c r="D16">
        <f t="shared" si="1"/>
        <v>4</v>
      </c>
    </row>
    <row r="17" spans="1:4" x14ac:dyDescent="0.25">
      <c r="A17" t="s">
        <v>25</v>
      </c>
      <c r="B17" t="s">
        <v>26</v>
      </c>
      <c r="C17">
        <v>2</v>
      </c>
      <c r="D17">
        <f t="shared" si="1"/>
        <v>4</v>
      </c>
    </row>
    <row r="18" spans="1:4" x14ac:dyDescent="0.25">
      <c r="A18" t="s">
        <v>27</v>
      </c>
      <c r="B18" t="s">
        <v>28</v>
      </c>
      <c r="C18">
        <v>4</v>
      </c>
      <c r="D18">
        <f t="shared" si="1"/>
        <v>8</v>
      </c>
    </row>
    <row r="19" spans="1:4" x14ac:dyDescent="0.25">
      <c r="A19" t="s">
        <v>30</v>
      </c>
      <c r="B19" t="s">
        <v>29</v>
      </c>
      <c r="C19">
        <v>2</v>
      </c>
      <c r="D19">
        <f t="shared" si="1"/>
        <v>4</v>
      </c>
    </row>
    <row r="21" spans="1:4" x14ac:dyDescent="0.25">
      <c r="A21" s="6" t="s">
        <v>38</v>
      </c>
      <c r="B21" s="6"/>
      <c r="C21" s="6"/>
      <c r="D21" s="6"/>
    </row>
    <row r="22" spans="1:4" x14ac:dyDescent="0.25">
      <c r="A22" s="5" t="s">
        <v>39</v>
      </c>
      <c r="B22" s="5"/>
      <c r="C22" s="5"/>
    </row>
    <row r="23" spans="1:4" x14ac:dyDescent="0.25">
      <c r="A23" t="s">
        <v>3</v>
      </c>
      <c r="B23" t="s">
        <v>4</v>
      </c>
      <c r="C23">
        <v>2</v>
      </c>
      <c r="D23">
        <f>C23*3</f>
        <v>6</v>
      </c>
    </row>
    <row r="24" spans="1:4" x14ac:dyDescent="0.25">
      <c r="A24" t="s">
        <v>5</v>
      </c>
      <c r="B24" t="s">
        <v>6</v>
      </c>
      <c r="C24">
        <v>2</v>
      </c>
      <c r="D24">
        <f t="shared" ref="D24:D32" si="2">C24*3</f>
        <v>6</v>
      </c>
    </row>
    <row r="25" spans="1:4" x14ac:dyDescent="0.25">
      <c r="A25" t="s">
        <v>7</v>
      </c>
      <c r="B25" t="s">
        <v>8</v>
      </c>
      <c r="C25">
        <v>2</v>
      </c>
      <c r="D25">
        <f t="shared" si="2"/>
        <v>6</v>
      </c>
    </row>
    <row r="26" spans="1:4" x14ac:dyDescent="0.25">
      <c r="A26" t="s">
        <v>16</v>
      </c>
      <c r="B26" t="s">
        <v>15</v>
      </c>
      <c r="C26">
        <v>2</v>
      </c>
      <c r="D26">
        <f t="shared" si="2"/>
        <v>6</v>
      </c>
    </row>
    <row r="28" spans="1:4" x14ac:dyDescent="0.25">
      <c r="A28" s="5" t="s">
        <v>40</v>
      </c>
      <c r="B28" s="5"/>
      <c r="C28" s="5"/>
    </row>
    <row r="29" spans="1:4" x14ac:dyDescent="0.25">
      <c r="A29" t="s">
        <v>17</v>
      </c>
      <c r="B29" t="s">
        <v>18</v>
      </c>
      <c r="C29">
        <v>2</v>
      </c>
      <c r="D29">
        <f t="shared" si="2"/>
        <v>6</v>
      </c>
    </row>
    <row r="30" spans="1:4" x14ac:dyDescent="0.25">
      <c r="A30" t="s">
        <v>19</v>
      </c>
      <c r="B30" t="s">
        <v>20</v>
      </c>
      <c r="C30">
        <v>2</v>
      </c>
      <c r="D30">
        <f t="shared" si="2"/>
        <v>6</v>
      </c>
    </row>
    <row r="31" spans="1:4" x14ac:dyDescent="0.25">
      <c r="A31" t="s">
        <v>21</v>
      </c>
      <c r="B31" t="s">
        <v>22</v>
      </c>
      <c r="C31">
        <v>2</v>
      </c>
      <c r="D31">
        <f t="shared" si="2"/>
        <v>6</v>
      </c>
    </row>
    <row r="32" spans="1:4" x14ac:dyDescent="0.25">
      <c r="A32" t="s">
        <v>30</v>
      </c>
      <c r="B32" t="s">
        <v>29</v>
      </c>
      <c r="C32">
        <v>2</v>
      </c>
      <c r="D32">
        <f t="shared" si="2"/>
        <v>6</v>
      </c>
    </row>
    <row r="34" spans="1:4" x14ac:dyDescent="0.25">
      <c r="A34" s="4" t="s">
        <v>41</v>
      </c>
      <c r="B34" s="4"/>
      <c r="C34" s="4"/>
      <c r="D34" s="4"/>
    </row>
    <row r="35" spans="1:4" x14ac:dyDescent="0.25">
      <c r="A35" t="s">
        <v>42</v>
      </c>
      <c r="B35" s="1" t="s">
        <v>31</v>
      </c>
      <c r="C35">
        <v>2</v>
      </c>
      <c r="D35">
        <v>2</v>
      </c>
    </row>
    <row r="36" spans="1:4" x14ac:dyDescent="0.25">
      <c r="A36" t="s">
        <v>42</v>
      </c>
      <c r="B36" s="1" t="s">
        <v>32</v>
      </c>
      <c r="C36">
        <v>4</v>
      </c>
      <c r="D36">
        <v>4</v>
      </c>
    </row>
    <row r="37" spans="1:4" x14ac:dyDescent="0.25">
      <c r="A37" t="s">
        <v>43</v>
      </c>
      <c r="B37" s="1" t="s">
        <v>33</v>
      </c>
      <c r="C37">
        <v>1</v>
      </c>
      <c r="D37">
        <v>1</v>
      </c>
    </row>
  </sheetData>
  <mergeCells count="6">
    <mergeCell ref="A34:D34"/>
    <mergeCell ref="A1:C1"/>
    <mergeCell ref="A11:C11"/>
    <mergeCell ref="A21:D21"/>
    <mergeCell ref="A22:C22"/>
    <mergeCell ref="A28:C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06090c-b102-4699-9c53-bd8ef13e5d30" xsi:nil="true"/>
    <Comments xmlns="c71f8926-de1e-4cde-bfb6-2ed37925d25c" xsi:nil="true"/>
    <Transform xmlns="c71f8926-de1e-4cde-bfb6-2ed37925d25c" xsi:nil="true"/>
    <lucian xmlns="c71f8926-de1e-4cde-bfb6-2ed37925d25c" xsi:nil="true"/>
    <lcf76f155ced4ddcb4097134ff3c332f xmlns="c71f8926-de1e-4cde-bfb6-2ed37925d25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238F6412427E4AB3625FEF9DF4E0DA" ma:contentTypeVersion="19" ma:contentTypeDescription="Create a new document." ma:contentTypeScope="" ma:versionID="6466ec4d353b76b78233483fd2702c48">
  <xsd:schema xmlns:xsd="http://www.w3.org/2001/XMLSchema" xmlns:xs="http://www.w3.org/2001/XMLSchema" xmlns:p="http://schemas.microsoft.com/office/2006/metadata/properties" xmlns:ns2="c71f8926-de1e-4cde-bfb6-2ed37925d25c" xmlns:ns3="e706090c-b102-4699-9c53-bd8ef13e5d30" targetNamespace="http://schemas.microsoft.com/office/2006/metadata/properties" ma:root="true" ma:fieldsID="4011db206edd64948aa797517f2f4514" ns2:_="" ns3:_="">
    <xsd:import namespace="c71f8926-de1e-4cde-bfb6-2ed37925d25c"/>
    <xsd:import namespace="e706090c-b102-4699-9c53-bd8ef13e5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lucian" minOccurs="0"/>
                <xsd:element ref="ns2:Transform" minOccurs="0"/>
                <xsd:element ref="ns2:Comment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f8926-de1e-4cde-bfb6-2ed37925d2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34200a-e575-48ad-97ba-4b0c9caf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lucian" ma:index="22" nillable="true" ma:displayName="Motor Part Number" ma:format="Dropdown" ma:internalName="lucian">
      <xsd:simpleType>
        <xsd:restriction base="dms:Text">
          <xsd:maxLength value="255"/>
        </xsd:restriction>
      </xsd:simpleType>
    </xsd:element>
    <xsd:element name="Transform" ma:index="23" nillable="true" ma:displayName="Transform to" ma:format="Dropdown" ma:internalName="Transform">
      <xsd:simpleType>
        <xsd:restriction base="dms:Text">
          <xsd:maxLength value="255"/>
        </xsd:restriction>
      </xsd:simpleType>
    </xsd:element>
    <xsd:element name="Comments" ma:index="24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6090c-b102-4699-9c53-bd8ef13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6374e92-f5c8-42e6-a1e3-553e58efaf9a}" ma:internalName="TaxCatchAll" ma:showField="CatchAllData" ma:web="e706090c-b102-4699-9c53-bd8ef13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C7B35D-A584-4349-AC13-2826224EF0EB}">
  <ds:schemaRefs>
    <ds:schemaRef ds:uri="http://schemas.microsoft.com/office/2006/metadata/properties"/>
    <ds:schemaRef ds:uri="http://schemas.microsoft.com/office/infopath/2007/PartnerControls"/>
    <ds:schemaRef ds:uri="e706090c-b102-4699-9c53-bd8ef13e5d30"/>
    <ds:schemaRef ds:uri="c71f8926-de1e-4cde-bfb6-2ed37925d25c"/>
  </ds:schemaRefs>
</ds:datastoreItem>
</file>

<file path=customXml/itemProps2.xml><?xml version="1.0" encoding="utf-8"?>
<ds:datastoreItem xmlns:ds="http://schemas.openxmlformats.org/officeDocument/2006/customXml" ds:itemID="{F561854D-46B4-4633-BE99-6D3C87A18D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1f8926-de1e-4cde-bfb6-2ed37925d25c"/>
    <ds:schemaRef ds:uri="e706090c-b102-4699-9c53-bd8ef13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D9CECE-FC89-4C93-85D5-D09F0CD81F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Xylem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Makowski, Maciej - Xylem</dc:creator>
  <cp:lastModifiedBy>Makowski, Maciej - Xylem</cp:lastModifiedBy>
  <dcterms:created xsi:type="dcterms:W3CDTF">2025-08-21T20:53:04Z</dcterms:created>
  <dcterms:modified xsi:type="dcterms:W3CDTF">2025-08-27T13:14:44Z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0x01010046238F6412427E4AB3625FEF9DF4E0DA</vt:lpwstr>
  </property>
  <property fmtid="{D5CDD505-2E9C-101B-9397-08002B2CF9AE}" pid="3" name="MediaServiceImageTags">
    <vt:lpwstr/>
  </property>
</Properties>
</file>