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ornquist-my.sharepoint.com/personal/javorio_bornquist_com/Documents/Desktop/BOCK/"/>
    </mc:Choice>
  </mc:AlternateContent>
  <xr:revisionPtr revIDLastSave="23" documentId="8_{7ED171CF-9088-467F-B61D-D8FB62F10DCB}" xr6:coauthVersionLast="47" xr6:coauthVersionMax="47" xr10:uidLastSave="{0769DED8-4F19-4680-8458-E4CB668E5C6C}"/>
  <bookViews>
    <workbookView xWindow="-108" yWindow="-108" windowWidth="23256" windowHeight="13896" firstSheet="1" activeTab="1" xr2:uid="{C941E4AB-B6D9-4C3C-BAE5-720D4039F233}"/>
  </bookViews>
  <sheets>
    <sheet name="OT200-299" sheetId="2" r:id="rId1"/>
    <sheet name="OT300-500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2" l="1"/>
  <c r="F6" i="2"/>
  <c r="F7" i="1"/>
  <c r="F8" i="1"/>
  <c r="F11" i="1" s="1"/>
  <c r="E30" i="2"/>
  <c r="F30" i="2" s="1"/>
  <c r="E31" i="1"/>
  <c r="F31" i="1" s="1"/>
  <c r="F10" i="2" l="1"/>
  <c r="F11" i="2"/>
  <c r="F12" i="2" s="1"/>
  <c r="F33" i="2" s="1"/>
  <c r="F12" i="1" l="1"/>
  <c r="F13" i="1" s="1"/>
  <c r="F34" i="1" s="1"/>
</calcChain>
</file>

<file path=xl/sharedStrings.xml><?xml version="1.0" encoding="utf-8"?>
<sst xmlns="http://schemas.openxmlformats.org/spreadsheetml/2006/main" count="72" uniqueCount="38">
  <si>
    <t>Bock Water heater Preventative Maintenance</t>
  </si>
  <si>
    <t>Model :</t>
  </si>
  <si>
    <t>OT200-299N</t>
  </si>
  <si>
    <t>Includes:</t>
  </si>
  <si>
    <t>Part number</t>
  </si>
  <si>
    <t xml:space="preserve">Description </t>
  </si>
  <si>
    <t xml:space="preserve">QTY </t>
  </si>
  <si>
    <t>UNIT PRICE</t>
  </si>
  <si>
    <t>UNIT PRICE - 10% DISCOUNT</t>
  </si>
  <si>
    <t>19852R</t>
  </si>
  <si>
    <t>Flame Rod w/ gasket</t>
  </si>
  <si>
    <t>19948R</t>
  </si>
  <si>
    <t>Hot Surface Ignitor w/ gasket</t>
  </si>
  <si>
    <t>Subtotal</t>
  </si>
  <si>
    <t>10.75% Tax</t>
  </si>
  <si>
    <t>UPDATED 2024</t>
  </si>
  <si>
    <t>Parts Total</t>
  </si>
  <si>
    <t>LABOR DESCRIPTION</t>
  </si>
  <si>
    <t>TIME (HRS)</t>
  </si>
  <si>
    <t xml:space="preserve">REPLACE </t>
  </si>
  <si>
    <t>FLAME ROD</t>
  </si>
  <si>
    <t>IGNITOR</t>
  </si>
  <si>
    <t>INSPECT / CHECK</t>
  </si>
  <si>
    <t>WATER PIPES</t>
  </si>
  <si>
    <t>T &amp; P RELIEF VAVLE</t>
  </si>
  <si>
    <t>POWER ANODE SYSTEM</t>
  </si>
  <si>
    <t>VENT SYSTEM</t>
  </si>
  <si>
    <t>COMBUSTION SYSTEM</t>
  </si>
  <si>
    <t>6 MONTH WELLNESS  CHECK UP</t>
  </si>
  <si>
    <t>TANK</t>
  </si>
  <si>
    <t>CONDENSTATE TRAP</t>
  </si>
  <si>
    <t>RUN/TEST THE SYSTEM</t>
  </si>
  <si>
    <t>LABOR PRICE ($215/HR)</t>
  </si>
  <si>
    <t>LABOR 10% DISCOUNT</t>
  </si>
  <si>
    <t>LABOR TOTAL</t>
  </si>
  <si>
    <t>OptiTHERM MAINTENANCE PER UNIT:</t>
  </si>
  <si>
    <t>OT300-500N</t>
  </si>
  <si>
    <t>UPDATED 04/01/26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</si>
</sst>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4" formatCode="_([$$-409]* #,##0.00_);_([$$-409]* \(#,##0.00\);_([$$-409]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u val="double"/>
      <sz val="11"/>
      <color theme="1"/>
      <name val="Calibri"/>
      <family val="2"/>
      <scheme val="minor"/>
    </font>
    <font>
      <b/>
      <u val="double"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double">
        <color rgb="FF000000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8">
    <xf numFmtId="0" fontId="0" fillId="0" borderId="0" xfId="0"/>
    <xf numFmtId="0" fontId="2" fillId="0" borderId="0" xfId="0" applyFont="1"/>
    <xf numFmtId="0" fontId="3" fillId="0" borderId="0" xfId="0" applyFont="1"/>
    <xf numFmtId="8" fontId="0" fillId="0" borderId="0" xfId="0" applyNumberFormat="1"/>
    <xf numFmtId="1" fontId="2" fillId="0" borderId="1" xfId="1" applyNumberFormat="1" applyFont="1" applyBorder="1" applyAlignment="1">
      <alignment horizontal="center" vertical="center"/>
    </xf>
    <xf numFmtId="1" fontId="2" fillId="0" borderId="0" xfId="1" applyNumberFormat="1" applyFont="1" applyBorder="1" applyAlignment="1">
      <alignment horizontal="center" vertical="center"/>
    </xf>
    <xf numFmtId="44" fontId="0" fillId="0" borderId="0" xfId="1" applyFont="1"/>
    <xf numFmtId="44" fontId="0" fillId="0" borderId="0" xfId="0" applyNumberFormat="1"/>
    <xf numFmtId="1" fontId="2" fillId="0" borderId="2" xfId="1" applyNumberFormat="1" applyFont="1" applyBorder="1" applyAlignment="1">
      <alignment horizontal="center" vertical="center"/>
    </xf>
    <xf numFmtId="164" fontId="0" fillId="2" borderId="2" xfId="1" applyNumberFormat="1" applyFont="1" applyFill="1" applyBorder="1" applyAlignment="1">
      <alignment horizontal="center" vertical="center"/>
    </xf>
    <xf numFmtId="164" fontId="0" fillId="0" borderId="1" xfId="1" applyNumberFormat="1" applyFont="1" applyBorder="1" applyAlignment="1">
      <alignment horizontal="center" vertical="center"/>
    </xf>
    <xf numFmtId="0" fontId="4" fillId="0" borderId="0" xfId="0" applyFont="1"/>
    <xf numFmtId="0" fontId="6" fillId="0" borderId="0" xfId="0" applyFont="1"/>
    <xf numFmtId="0" fontId="2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44" fontId="5" fillId="2" borderId="0" xfId="0" applyNumberFormat="1" applyFont="1" applyFill="1"/>
    <xf numFmtId="44" fontId="0" fillId="2" borderId="0" xfId="0" applyNumberFormat="1" applyFill="1"/>
    <xf numFmtId="0" fontId="0" fillId="3" borderId="0" xfId="0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4C3E1-D09B-40E2-865B-4B3C1E089722}">
  <dimension ref="A1:K33"/>
  <sheetViews>
    <sheetView topLeftCell="A10" workbookViewId="0">
      <selection activeCell="F11" sqref="F11"/>
    </sheetView>
  </sheetViews>
  <sheetFormatPr defaultRowHeight="14.4" x14ac:dyDescent="0.3"/>
  <cols>
    <col min="1" max="1" width="7.5546875" customWidth="1"/>
    <col min="2" max="2" width="11.6640625" customWidth="1"/>
    <col min="3" max="3" width="25.88671875" customWidth="1"/>
    <col min="4" max="4" width="4.88671875" customWidth="1"/>
    <col min="5" max="5" width="11.6640625" customWidth="1"/>
    <col min="6" max="6" width="15.44140625" customWidth="1"/>
    <col min="7" max="7" width="10.33203125" customWidth="1"/>
  </cols>
  <sheetData>
    <row r="1" spans="1:11" x14ac:dyDescent="0.3">
      <c r="A1" s="2" t="s">
        <v>0</v>
      </c>
      <c r="B1" s="1"/>
      <c r="C1" s="1"/>
    </row>
    <row r="3" spans="1:11" x14ac:dyDescent="0.3">
      <c r="A3" s="1" t="s">
        <v>1</v>
      </c>
      <c r="B3" s="1" t="s">
        <v>2</v>
      </c>
    </row>
    <row r="4" spans="1:11" ht="33.75" customHeight="1" x14ac:dyDescent="0.3">
      <c r="A4" s="1" t="s">
        <v>3</v>
      </c>
    </row>
    <row r="5" spans="1:11" x14ac:dyDescent="0.3">
      <c r="B5" s="2" t="s">
        <v>4</v>
      </c>
      <c r="C5" s="2" t="s">
        <v>5</v>
      </c>
      <c r="D5" s="2" t="s">
        <v>6</v>
      </c>
      <c r="E5" s="2" t="s">
        <v>7</v>
      </c>
      <c r="F5" s="14" t="s">
        <v>8</v>
      </c>
    </row>
    <row r="6" spans="1:11" x14ac:dyDescent="0.3">
      <c r="B6" t="s">
        <v>9</v>
      </c>
      <c r="C6" t="s">
        <v>10</v>
      </c>
      <c r="D6">
        <v>1</v>
      </c>
      <c r="E6" s="3">
        <v>24.69</v>
      </c>
      <c r="F6" s="6">
        <f>E6*0.9</f>
        <v>22.221</v>
      </c>
    </row>
    <row r="7" spans="1:11" x14ac:dyDescent="0.3">
      <c r="B7" t="s">
        <v>11</v>
      </c>
      <c r="C7" t="s">
        <v>12</v>
      </c>
      <c r="D7">
        <v>1</v>
      </c>
      <c r="E7" s="3">
        <v>192.55</v>
      </c>
      <c r="F7" s="6">
        <f>E7*0.9</f>
        <v>173.29500000000002</v>
      </c>
    </row>
    <row r="10" spans="1:11" x14ac:dyDescent="0.3">
      <c r="E10" s="4" t="s">
        <v>13</v>
      </c>
      <c r="F10" s="10">
        <f>SUM(F4:F9)</f>
        <v>195.51600000000002</v>
      </c>
    </row>
    <row r="11" spans="1:11" ht="15" thickBot="1" x14ac:dyDescent="0.35">
      <c r="A11" s="1"/>
      <c r="B11" s="1"/>
      <c r="D11" s="1"/>
      <c r="E11" s="5" t="s">
        <v>14</v>
      </c>
      <c r="F11" s="7">
        <f>F10*0.1075</f>
        <v>21.017970000000002</v>
      </c>
      <c r="J11" s="17" t="s">
        <v>15</v>
      </c>
      <c r="K11" s="17"/>
    </row>
    <row r="12" spans="1:11" ht="15" thickTop="1" x14ac:dyDescent="0.3">
      <c r="E12" s="8" t="s">
        <v>16</v>
      </c>
      <c r="F12" s="9">
        <f>SUM(F10:F11)</f>
        <v>216.53397000000001</v>
      </c>
    </row>
    <row r="14" spans="1:11" x14ac:dyDescent="0.3">
      <c r="A14" s="2"/>
      <c r="B14" s="2" t="s">
        <v>17</v>
      </c>
      <c r="C14" s="11"/>
      <c r="D14" s="2" t="s">
        <v>18</v>
      </c>
    </row>
    <row r="15" spans="1:11" x14ac:dyDescent="0.3">
      <c r="B15" s="1" t="s">
        <v>19</v>
      </c>
      <c r="D15">
        <v>2</v>
      </c>
    </row>
    <row r="16" spans="1:11" x14ac:dyDescent="0.3">
      <c r="B16" t="s">
        <v>20</v>
      </c>
    </row>
    <row r="17" spans="2:6" x14ac:dyDescent="0.3">
      <c r="B17" t="s">
        <v>21</v>
      </c>
    </row>
    <row r="19" spans="2:6" x14ac:dyDescent="0.3">
      <c r="B19" s="1" t="s">
        <v>22</v>
      </c>
      <c r="D19">
        <v>3</v>
      </c>
    </row>
    <row r="20" spans="2:6" x14ac:dyDescent="0.3">
      <c r="B20" t="s">
        <v>23</v>
      </c>
    </row>
    <row r="21" spans="2:6" x14ac:dyDescent="0.3">
      <c r="B21" t="s">
        <v>24</v>
      </c>
    </row>
    <row r="22" spans="2:6" x14ac:dyDescent="0.3">
      <c r="B22" t="s">
        <v>25</v>
      </c>
    </row>
    <row r="23" spans="2:6" x14ac:dyDescent="0.3">
      <c r="B23" t="s">
        <v>26</v>
      </c>
    </row>
    <row r="24" spans="2:6" x14ac:dyDescent="0.3">
      <c r="B24" t="s">
        <v>27</v>
      </c>
    </row>
    <row r="26" spans="2:6" x14ac:dyDescent="0.3">
      <c r="B26" s="1" t="s">
        <v>28</v>
      </c>
      <c r="D26">
        <v>3</v>
      </c>
    </row>
    <row r="27" spans="2:6" x14ac:dyDescent="0.3">
      <c r="B27" t="s">
        <v>29</v>
      </c>
    </row>
    <row r="28" spans="2:6" x14ac:dyDescent="0.3">
      <c r="B28" t="s">
        <v>30</v>
      </c>
    </row>
    <row r="29" spans="2:6" x14ac:dyDescent="0.3">
      <c r="B29" t="s">
        <v>31</v>
      </c>
      <c r="E29" s="12" t="s">
        <v>32</v>
      </c>
      <c r="F29" s="12" t="s">
        <v>33</v>
      </c>
    </row>
    <row r="30" spans="2:6" x14ac:dyDescent="0.3">
      <c r="C30" s="13" t="s">
        <v>34</v>
      </c>
      <c r="D30">
        <v>8</v>
      </c>
      <c r="E30" s="6">
        <f>D30*215</f>
        <v>1720</v>
      </c>
      <c r="F30" s="16">
        <f>E30*0.9</f>
        <v>1548</v>
      </c>
    </row>
    <row r="31" spans="2:6" x14ac:dyDescent="0.3">
      <c r="E31" s="1"/>
      <c r="F31" s="1"/>
    </row>
    <row r="33" spans="3:6" x14ac:dyDescent="0.3">
      <c r="C33" s="12" t="s">
        <v>35</v>
      </c>
      <c r="D33" s="12"/>
      <c r="E33" s="12"/>
      <c r="F33" s="15">
        <f>F12+F30</f>
        <v>1764.53397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4DBC7-35B5-454C-A8EB-A2AD694C1A58}">
  <dimension ref="A1:J34"/>
  <sheetViews>
    <sheetView tabSelected="1" zoomScaleNormal="100" workbookViewId="0">
      <selection activeCell="B3" sqref="B3"/>
    </sheetView>
  </sheetViews>
  <sheetFormatPr defaultRowHeight="14.4" x14ac:dyDescent="0.3"/>
  <cols>
    <col min="1" max="1" width="7.33203125" customWidth="1"/>
    <col min="2" max="2" width="16.109375" customWidth="1"/>
    <col min="3" max="3" width="26.33203125" customWidth="1"/>
    <col min="4" max="4" width="5.44140625" customWidth="1"/>
    <col min="5" max="5" width="11.5546875" customWidth="1"/>
    <col min="6" max="6" width="14.33203125" customWidth="1"/>
    <col min="10" max="10" width="17.109375" customWidth="1"/>
  </cols>
  <sheetData>
    <row r="1" spans="1:10" x14ac:dyDescent="0.3">
      <c r="A1" s="2" t="s">
        <v>0</v>
      </c>
      <c r="B1" s="1"/>
      <c r="C1" s="1"/>
    </row>
    <row r="3" spans="1:10" x14ac:dyDescent="0.3">
      <c r="A3" s="1" t="s">
        <v>1</v>
      </c>
      <c r="B3" s="1" t="s">
        <v>36</v>
      </c>
    </row>
    <row r="4" spans="1:10" ht="12" customHeight="1" x14ac:dyDescent="0.3"/>
    <row r="5" spans="1:10" hidden="1" x14ac:dyDescent="0.3">
      <c r="A5" s="1" t="s">
        <v>3</v>
      </c>
    </row>
    <row r="6" spans="1:10" ht="30.75" customHeight="1" x14ac:dyDescent="0.3">
      <c r="B6" s="2" t="s">
        <v>4</v>
      </c>
      <c r="C6" s="2" t="s">
        <v>5</v>
      </c>
      <c r="D6" s="2" t="s">
        <v>6</v>
      </c>
      <c r="E6" s="2" t="s">
        <v>7</v>
      </c>
      <c r="F6" s="14" t="s">
        <v>8</v>
      </c>
    </row>
    <row r="7" spans="1:10" x14ac:dyDescent="0.3">
      <c r="B7" t="s">
        <v>9</v>
      </c>
      <c r="C7" t="s">
        <v>10</v>
      </c>
      <c r="D7">
        <v>1</v>
      </c>
      <c r="E7" s="3">
        <v>35</v>
      </c>
      <c r="F7" s="6">
        <f>E7*0.9</f>
        <v>31.5</v>
      </c>
    </row>
    <row r="8" spans="1:10" x14ac:dyDescent="0.3">
      <c r="B8" t="s">
        <v>11</v>
      </c>
      <c r="C8" t="s">
        <v>12</v>
      </c>
      <c r="D8">
        <v>1</v>
      </c>
      <c r="E8" s="3">
        <v>272</v>
      </c>
      <c r="F8" s="6">
        <f>E8*0.9</f>
        <v>244.8</v>
      </c>
    </row>
    <row r="11" spans="1:10" x14ac:dyDescent="0.3">
      <c r="E11" s="4" t="s">
        <v>13</v>
      </c>
      <c r="F11" s="10">
        <f>SUM(F4:F10)</f>
        <v>276.3</v>
      </c>
      <c r="J11" s="17" t="s">
        <v>37</v>
      </c>
    </row>
    <row r="12" spans="1:10" ht="15" thickBot="1" x14ac:dyDescent="0.35">
      <c r="A12" s="1"/>
      <c r="B12" s="1"/>
      <c r="D12" s="1"/>
      <c r="E12" s="5" t="s">
        <v>14</v>
      </c>
      <c r="F12" s="7">
        <f>F11*0.1075</f>
        <v>29.702249999999999</v>
      </c>
    </row>
    <row r="13" spans="1:10" ht="15" thickTop="1" x14ac:dyDescent="0.3">
      <c r="E13" s="8" t="s">
        <v>16</v>
      </c>
      <c r="F13" s="9">
        <f>SUM(F11:F12)</f>
        <v>306.00225</v>
      </c>
    </row>
    <row r="15" spans="1:10" x14ac:dyDescent="0.3">
      <c r="A15" s="2"/>
      <c r="B15" s="2" t="s">
        <v>17</v>
      </c>
      <c r="C15" s="11"/>
      <c r="D15" s="2" t="s">
        <v>18</v>
      </c>
    </row>
    <row r="16" spans="1:10" x14ac:dyDescent="0.3">
      <c r="B16" s="1" t="s">
        <v>19</v>
      </c>
      <c r="D16">
        <v>2</v>
      </c>
    </row>
    <row r="17" spans="2:6" x14ac:dyDescent="0.3">
      <c r="B17" t="s">
        <v>20</v>
      </c>
    </row>
    <row r="18" spans="2:6" x14ac:dyDescent="0.3">
      <c r="B18" t="s">
        <v>21</v>
      </c>
    </row>
    <row r="20" spans="2:6" x14ac:dyDescent="0.3">
      <c r="B20" s="1" t="s">
        <v>22</v>
      </c>
      <c r="D20">
        <v>3</v>
      </c>
    </row>
    <row r="21" spans="2:6" x14ac:dyDescent="0.3">
      <c r="B21" t="s">
        <v>23</v>
      </c>
    </row>
    <row r="22" spans="2:6" x14ac:dyDescent="0.3">
      <c r="B22" t="s">
        <v>24</v>
      </c>
    </row>
    <row r="23" spans="2:6" x14ac:dyDescent="0.3">
      <c r="B23" t="s">
        <v>25</v>
      </c>
    </row>
    <row r="24" spans="2:6" x14ac:dyDescent="0.3">
      <c r="B24" t="s">
        <v>26</v>
      </c>
    </row>
    <row r="25" spans="2:6" x14ac:dyDescent="0.3">
      <c r="B25" t="s">
        <v>27</v>
      </c>
    </row>
    <row r="27" spans="2:6" x14ac:dyDescent="0.3">
      <c r="B27" s="1" t="s">
        <v>28</v>
      </c>
      <c r="D27">
        <v>3</v>
      </c>
    </row>
    <row r="28" spans="2:6" x14ac:dyDescent="0.3">
      <c r="B28" t="s">
        <v>29</v>
      </c>
    </row>
    <row r="29" spans="2:6" x14ac:dyDescent="0.3">
      <c r="B29" t="s">
        <v>30</v>
      </c>
    </row>
    <row r="30" spans="2:6" x14ac:dyDescent="0.3">
      <c r="B30" t="s">
        <v>31</v>
      </c>
      <c r="E30" s="12" t="s">
        <v>32</v>
      </c>
      <c r="F30" s="12" t="s">
        <v>33</v>
      </c>
    </row>
    <row r="31" spans="2:6" x14ac:dyDescent="0.3">
      <c r="C31" s="13" t="s">
        <v>34</v>
      </c>
      <c r="D31">
        <v>8</v>
      </c>
      <c r="E31" s="6">
        <f>D31*215</f>
        <v>1720</v>
      </c>
      <c r="F31" s="16">
        <f>E31*0.9</f>
        <v>1548</v>
      </c>
    </row>
    <row r="32" spans="2:6" x14ac:dyDescent="0.3">
      <c r="E32" s="1"/>
      <c r="F32" s="1"/>
    </row>
    <row r="34" spans="3:6" x14ac:dyDescent="0.3">
      <c r="C34" s="12" t="s">
        <v>35</v>
      </c>
      <c r="D34" s="12"/>
      <c r="E34" s="12"/>
      <c r="F34" s="15">
        <f>F13+F31</f>
        <v>1854.00225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33C4A0B8182554C949238A70DEFE1F0" ma:contentTypeVersion="6" ma:contentTypeDescription="Create a new document." ma:contentTypeScope="" ma:versionID="10cbbf7194ae9cc4dd6c8ae3d163018b">
  <xsd:schema xmlns:xsd="http://www.w3.org/2001/XMLSchema" xmlns:xs="http://www.w3.org/2001/XMLSchema" xmlns:p="http://schemas.microsoft.com/office/2006/metadata/properties" xmlns:ns2="1849db6d-1cb6-4afc-bbcf-f0bae80b3478" xmlns:ns3="ee0e6b83-eb7c-41f8-b241-1645dbe6aa66" targetNamespace="http://schemas.microsoft.com/office/2006/metadata/properties" ma:root="true" ma:fieldsID="9f3a48fcd49c6455d3f1414cfc03c5c5" ns2:_="" ns3:_="">
    <xsd:import namespace="1849db6d-1cb6-4afc-bbcf-f0bae80b3478"/>
    <xsd:import namespace="ee0e6b83-eb7c-41f8-b241-1645dbe6aa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49db6d-1cb6-4afc-bbcf-f0bae80b34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0e6b83-eb7c-41f8-b241-1645dbe6aa6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43096A7-234A-4CBB-972C-E5CD5CE7F8C8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F49DBFCE-27F3-4D60-A8A5-7DFD1D743B1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849db6d-1cb6-4afc-bbcf-f0bae80b3478"/>
    <ds:schemaRef ds:uri="ee0e6b83-eb7c-41f8-b241-1645dbe6aa6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A978FCF-452D-4DF3-80B7-19402C1CE72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OT200-299</vt:lpstr>
      <vt:lpstr>OT300-500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Rith Pum</dc:creator>
  <cp:keywords/>
  <dc:description/>
  <cp:lastModifiedBy>Jake Avorio</cp:lastModifiedBy>
  <cp:revision/>
  <dcterms:created xsi:type="dcterms:W3CDTF">2023-03-07T16:12:51Z</dcterms:created>
  <dcterms:modified xsi:type="dcterms:W3CDTF">2026-04-02T20:41:00Z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0x010100133C4A0B8182554C949238A70DEFE1F0</vt:lpwstr>
  </property>
</Properties>
</file>